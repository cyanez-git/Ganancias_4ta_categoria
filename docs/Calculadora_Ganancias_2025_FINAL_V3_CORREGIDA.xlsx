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0" activeTab="4" autoFilterDateGrouping="1"/>
  </bookViews>
  <sheets>
    <sheet xmlns:r="http://schemas.openxmlformats.org/officeDocument/2006/relationships" name="Configuración" sheetId="1" state="visible" r:id="rId1"/>
    <sheet xmlns:r="http://schemas.openxmlformats.org/officeDocument/2006/relationships" name="Parametros" sheetId="2" state="visible" r:id="rId2"/>
    <sheet xmlns:r="http://schemas.openxmlformats.org/officeDocument/2006/relationships" name="Liquidación Anual 2025" sheetId="3" state="visible" r:id="rId3"/>
    <sheet xmlns:r="http://schemas.openxmlformats.org/officeDocument/2006/relationships" name="Instrucciones" sheetId="4" state="visible" r:id="rId4"/>
    <sheet xmlns:r="http://schemas.openxmlformats.org/officeDocument/2006/relationships" name="Resumen cálculo" sheetId="5" state="visible" r:id="rId5"/>
  </sheets>
  <definedNames/>
  <calcPr calcId="191029" fullCalcOnLoad="1"/>
</workbook>
</file>

<file path=xl/styles.xml><?xml version="1.0" encoding="utf-8"?>
<styleSheet xmlns="http://schemas.openxmlformats.org/spreadsheetml/2006/main">
  <numFmts count="1">
    <numFmt numFmtId="164" formatCode="_ &quot;$&quot;\ * #,##0.00_ ;_ &quot;$&quot;\ * \-#,##0.00_ ;_ &quot;$&quot;\ * &quot;-&quot;??_ ;_ @_ "/>
  </numFmts>
  <fonts count="24">
    <font>
      <name val="Calibri"/>
      <family val="2"/>
      <color theme="1"/>
      <sz val="11"/>
      <scheme val="minor"/>
    </font>
    <font>
      <name val="Calibri"/>
      <family val="2"/>
      <b val="1"/>
      <sz val="14"/>
    </font>
    <font>
      <name val="Calibri"/>
      <family val="2"/>
      <b val="1"/>
      <sz val="12"/>
    </font>
    <font>
      <name val="Calibri"/>
      <family val="2"/>
      <b val="1"/>
      <sz val="11"/>
    </font>
    <font>
      <name val="Calibri"/>
      <family val="2"/>
      <b val="1"/>
      <color rgb="FFFFFFFF"/>
      <sz val="14"/>
    </font>
    <font>
      <name val="Calibri"/>
      <family val="2"/>
      <b val="1"/>
      <color rgb="FFFFFFFF"/>
      <sz val="11"/>
    </font>
    <font>
      <name val="Calibri"/>
      <family val="2"/>
      <b val="1"/>
      <sz val="10"/>
    </font>
    <font>
      <name val="Calibri"/>
      <family val="2"/>
      <b val="1"/>
      <color rgb="FFFFFFFF"/>
      <sz val="12"/>
    </font>
    <font>
      <name val="Calibri"/>
      <family val="2"/>
      <sz val="10"/>
    </font>
    <font>
      <name val="Arial"/>
      <family val="2"/>
      <b val="1"/>
      <color rgb="FFFFFFFF"/>
      <sz val="14"/>
    </font>
    <font>
      <name val="Arial"/>
      <family val="2"/>
      <color rgb="FF000000"/>
      <sz val="10"/>
    </font>
    <font>
      <name val="Arial"/>
      <family val="2"/>
      <b val="1"/>
      <color rgb="FF000000"/>
      <sz val="12"/>
    </font>
    <font>
      <name val="Calibri"/>
      <family val="2"/>
      <color theme="1"/>
      <sz val="11"/>
      <scheme val="minor"/>
    </font>
    <font>
      <name val="Calibri"/>
      <family val="2"/>
      <color rgb="FFFF0000"/>
      <sz val="11"/>
      <scheme val="minor"/>
    </font>
    <font>
      <name val="Calibri"/>
      <family val="2"/>
      <b val="1"/>
      <color theme="1"/>
      <sz val="11"/>
      <scheme val="minor"/>
    </font>
    <font>
      <name val="Tahoma"/>
      <family val="2"/>
      <b val="1"/>
      <color indexed="81"/>
      <sz val="9"/>
    </font>
    <font>
      <name val="Calibri"/>
      <family val="2"/>
      <color theme="1"/>
      <sz val="11"/>
      <u val="single"/>
      <scheme val="minor"/>
    </font>
    <font>
      <name val="Calibri"/>
      <family val="2"/>
      <b val="1"/>
      <color rgb="FFFF0000"/>
      <sz val="11"/>
      <scheme val="minor"/>
    </font>
    <font>
      <name val="Calibri"/>
      <family val="2"/>
      <b val="1"/>
      <color rgb="FF0070C0"/>
      <sz val="11"/>
      <scheme val="minor"/>
    </font>
    <font>
      <name val="Verdana"/>
      <family val="2"/>
      <b val="1"/>
      <color rgb="FF0070C0"/>
      <sz val="9"/>
    </font>
    <font>
      <name val="Calibri"/>
      <family val="2"/>
      <color theme="1"/>
      <sz val="9"/>
      <scheme val="minor"/>
    </font>
    <font>
      <b val="1"/>
      <color rgb="00FF0000"/>
    </font>
    <font>
      <b val="1"/>
      <color rgb="000000FF"/>
    </font>
    <font>
      <name val="Arial"/>
      <sz val="10"/>
    </font>
  </fonts>
  <fills count="15">
    <fill>
      <patternFill/>
    </fill>
    <fill>
      <patternFill patternType="gray125"/>
    </fill>
    <fill>
      <patternFill patternType="solid">
        <fgColor rgb="FFFFFF00"/>
        <bgColor rgb="FFFFFF00"/>
      </patternFill>
    </fill>
    <fill>
      <patternFill patternType="solid">
        <fgColor rgb="FF0070C0"/>
        <bgColor rgb="FF0070C0"/>
      </patternFill>
    </fill>
    <fill>
      <patternFill patternType="solid">
        <fgColor rgb="FF4472C4"/>
        <bgColor rgb="FF4472C4"/>
      </patternFill>
    </fill>
    <fill>
      <patternFill patternType="solid">
        <fgColor rgb="FFFFF2CC"/>
        <bgColor rgb="FFFFF2CC"/>
      </patternFill>
    </fill>
    <fill>
      <patternFill patternType="solid">
        <fgColor rgb="FFD9E1F2"/>
        <bgColor rgb="FFD9E1F2"/>
      </patternFill>
    </fill>
    <fill>
      <patternFill patternType="solid">
        <fgColor rgb="FFE7E6E6"/>
        <bgColor rgb="FFE7E6E6"/>
      </patternFill>
    </fill>
    <fill>
      <patternFill patternType="solid">
        <fgColor theme="6" tint="0.7999816888943144"/>
        <bgColor rgb="FFFFF2CC"/>
      </patternFill>
    </fill>
    <fill>
      <patternFill patternType="solid">
        <fgColor rgb="FFFFFF00"/>
        <bgColor indexed="64"/>
      </patternFill>
    </fill>
    <fill>
      <patternFill patternType="solid">
        <fgColor theme="0"/>
        <bgColor indexed="64"/>
      </patternFill>
    </fill>
    <fill>
      <patternFill patternType="solid">
        <fgColor theme="0" tint="-0.249977111117893"/>
        <bgColor indexed="64"/>
      </patternFill>
    </fill>
    <fill>
      <patternFill patternType="solid">
        <fgColor rgb="FF92D050"/>
        <bgColor indexed="64"/>
      </patternFill>
    </fill>
    <fill>
      <patternFill patternType="solid">
        <fgColor rgb="00CCCCCC"/>
        <bgColor rgb="00CCCCCC"/>
      </patternFill>
    </fill>
    <fill>
      <patternFill patternType="solid">
        <fgColor rgb="00FFFF00"/>
        <bgColor rgb="00FFFF00"/>
      </patternFill>
    </fill>
  </fills>
  <borders count="4">
    <border>
      <left/>
      <right/>
      <top/>
      <bottom/>
      <diagonal/>
    </border>
    <border>
      <left/>
      <right/>
      <top/>
      <bottom style="hair">
        <color auto="1"/>
      </bottom>
      <diagonal/>
    </border>
    <border>
      <left/>
      <right/>
      <top style="hair">
        <color auto="1"/>
      </top>
      <bottom style="hair">
        <color auto="1"/>
      </bottom>
      <diagonal/>
    </border>
    <border>
      <left/>
      <right/>
      <top style="hair">
        <color auto="1"/>
      </top>
      <bottom/>
      <diagonal/>
    </border>
  </borders>
  <cellStyleXfs count="2">
    <xf numFmtId="0" fontId="12" fillId="0" borderId="0"/>
    <xf numFmtId="164" fontId="12" fillId="0" borderId="0"/>
  </cellStyleXfs>
  <cellXfs count="54">
    <xf numFmtId="0" fontId="0" fillId="0" borderId="0" pivotButton="0" quotePrefix="0" xfId="0"/>
    <xf numFmtId="0" fontId="1" fillId="0" borderId="0" pivotButton="0" quotePrefix="0" xfId="0"/>
    <xf numFmtId="0" fontId="0" fillId="2" borderId="0" pivotButton="0" quotePrefix="0" xfId="0"/>
    <xf numFmtId="0" fontId="2" fillId="0" borderId="0" pivotButton="0" quotePrefix="0" xfId="0"/>
    <xf numFmtId="0" fontId="3" fillId="0" borderId="0" pivotButton="0" quotePrefix="0" xfId="0"/>
    <xf numFmtId="0" fontId="4" fillId="3" borderId="0" pivotButton="0" quotePrefix="0" xfId="0"/>
    <xf numFmtId="0" fontId="5" fillId="4" borderId="0" pivotButton="0" quotePrefix="0" xfId="0"/>
    <xf numFmtId="0" fontId="0" fillId="5" borderId="0" pivotButton="0" quotePrefix="0" xfId="0"/>
    <xf numFmtId="0" fontId="6" fillId="6" borderId="0" pivotButton="0" quotePrefix="0" xfId="0"/>
    <xf numFmtId="0" fontId="7" fillId="3" borderId="0" pivotButton="0" quotePrefix="0" xfId="0"/>
    <xf numFmtId="0" fontId="0" fillId="0" borderId="0" applyAlignment="1" pivotButton="0" quotePrefix="0" xfId="0">
      <alignment vertical="top" wrapText="1"/>
    </xf>
    <xf numFmtId="0" fontId="8" fillId="7" borderId="0" pivotButton="0" quotePrefix="0" xfId="0"/>
    <xf numFmtId="0" fontId="9" fillId="4" borderId="0" applyAlignment="1" pivotButton="0" quotePrefix="0" xfId="0">
      <alignment horizontal="center" vertical="center" wrapText="1"/>
    </xf>
    <xf numFmtId="0" fontId="10" fillId="0" borderId="0" applyAlignment="1" pivotButton="0" quotePrefix="0" xfId="0">
      <alignment horizontal="left" vertical="top" wrapText="1"/>
    </xf>
    <xf numFmtId="0" fontId="11" fillId="6" borderId="0" applyAlignment="1" pivotButton="0" quotePrefix="0" xfId="0">
      <alignment horizontal="left" vertical="center" wrapText="1"/>
    </xf>
    <xf numFmtId="0" fontId="0" fillId="8" borderId="0" pivotButton="0" quotePrefix="0" xfId="0"/>
    <xf numFmtId="164" fontId="3" fillId="0" borderId="0" applyAlignment="1" pivotButton="0" quotePrefix="0" xfId="1">
      <alignment horizontal="center"/>
    </xf>
    <xf numFmtId="164" fontId="0" fillId="0" borderId="0" pivotButton="0" quotePrefix="0" xfId="1"/>
    <xf numFmtId="164" fontId="0" fillId="2" borderId="0" pivotButton="0" quotePrefix="0" xfId="1"/>
    <xf numFmtId="0" fontId="10" fillId="9" borderId="0" applyAlignment="1" pivotButton="0" quotePrefix="0" xfId="0">
      <alignment horizontal="left" vertical="top" wrapText="1"/>
    </xf>
    <xf numFmtId="0" fontId="0" fillId="9" borderId="0" pivotButton="0" quotePrefix="0" xfId="0"/>
    <xf numFmtId="0" fontId="16" fillId="10" borderId="0" pivotButton="0" quotePrefix="0" xfId="0"/>
    <xf numFmtId="0" fontId="16" fillId="10" borderId="0" applyAlignment="1" pivotButton="0" quotePrefix="0" xfId="0">
      <alignment horizontal="center"/>
    </xf>
    <xf numFmtId="0" fontId="0" fillId="10" borderId="0" applyAlignment="1" pivotButton="0" quotePrefix="0" xfId="0">
      <alignment horizontal="center" vertical="top" wrapText="1"/>
    </xf>
    <xf numFmtId="0" fontId="14" fillId="10" borderId="1" applyAlignment="1" pivotButton="0" quotePrefix="0" xfId="0">
      <alignment vertical="top" wrapText="1"/>
    </xf>
    <xf numFmtId="0" fontId="13" fillId="10" borderId="1" applyAlignment="1" pivotButton="0" quotePrefix="0" xfId="0">
      <alignment horizontal="center" vertical="top" wrapText="1"/>
    </xf>
    <xf numFmtId="0" fontId="0" fillId="10" borderId="0" pivotButton="0" quotePrefix="0" xfId="0"/>
    <xf numFmtId="0" fontId="0" fillId="10" borderId="2" applyAlignment="1" pivotButton="0" quotePrefix="0" xfId="0">
      <alignment vertical="top" wrapText="1"/>
    </xf>
    <xf numFmtId="0" fontId="13" fillId="10" borderId="2" applyAlignment="1" pivotButton="0" quotePrefix="0" xfId="0">
      <alignment horizontal="center" vertical="top" wrapText="1"/>
    </xf>
    <xf numFmtId="164" fontId="13" fillId="10" borderId="2" applyAlignment="1" pivotButton="0" quotePrefix="0" xfId="1">
      <alignment horizontal="center" vertical="top" wrapText="1"/>
    </xf>
    <xf numFmtId="0" fontId="14" fillId="10" borderId="2" applyAlignment="1" pivotButton="0" quotePrefix="0" xfId="0">
      <alignment vertical="top" wrapText="1"/>
    </xf>
    <xf numFmtId="0" fontId="13" fillId="10" borderId="3" applyAlignment="1" pivotButton="0" quotePrefix="0" xfId="0">
      <alignment horizontal="center" vertical="top" wrapText="1"/>
    </xf>
    <xf numFmtId="0" fontId="14" fillId="10" borderId="0" applyAlignment="1" pivotButton="0" quotePrefix="0" xfId="0">
      <alignment vertical="top" wrapText="1"/>
    </xf>
    <xf numFmtId="0" fontId="13" fillId="10" borderId="2" applyAlignment="1" pivotButton="0" quotePrefix="0" xfId="0">
      <alignment horizontal="center" vertical="top"/>
    </xf>
    <xf numFmtId="0" fontId="14" fillId="10" borderId="0" applyAlignment="1" pivotButton="0" quotePrefix="0" xfId="0">
      <alignment vertical="top"/>
    </xf>
    <xf numFmtId="0" fontId="13" fillId="10" borderId="0" applyAlignment="1" pivotButton="0" quotePrefix="0" xfId="0">
      <alignment horizontal="center" vertical="top"/>
    </xf>
    <xf numFmtId="0" fontId="13" fillId="10" borderId="1" applyAlignment="1" pivotButton="0" quotePrefix="0" xfId="0">
      <alignment horizontal="center" vertical="top"/>
    </xf>
    <xf numFmtId="0" fontId="0" fillId="10" borderId="3" applyAlignment="1" pivotButton="0" quotePrefix="0" xfId="0">
      <alignment vertical="top"/>
    </xf>
    <xf numFmtId="0" fontId="0" fillId="10" borderId="1" applyAlignment="1" pivotButton="0" quotePrefix="0" xfId="0">
      <alignment vertical="top" wrapText="1"/>
    </xf>
    <xf numFmtId="0" fontId="14" fillId="0" borderId="0" pivotButton="0" quotePrefix="0" xfId="0"/>
    <xf numFmtId="0" fontId="0" fillId="0" borderId="0" applyAlignment="1" pivotButton="0" quotePrefix="0" xfId="0">
      <alignment horizontal="center" vertical="top" wrapText="1"/>
    </xf>
    <xf numFmtId="0" fontId="0" fillId="11" borderId="0" applyAlignment="1" pivotButton="0" quotePrefix="0" xfId="0">
      <alignment horizontal="center"/>
    </xf>
    <xf numFmtId="0" fontId="0" fillId="12" borderId="0" applyAlignment="1" pivotButton="0" quotePrefix="0" xfId="0">
      <alignment horizontal="center"/>
    </xf>
    <xf numFmtId="0" fontId="18" fillId="0" borderId="0" pivotButton="0" quotePrefix="0" xfId="0"/>
    <xf numFmtId="0" fontId="20" fillId="10" borderId="0" applyAlignment="1" pivotButton="0" quotePrefix="0" xfId="0">
      <alignment horizontal="left"/>
    </xf>
    <xf numFmtId="0" fontId="20" fillId="10" borderId="0" pivotButton="0" quotePrefix="0" xfId="0"/>
    <xf numFmtId="0" fontId="19" fillId="10" borderId="0" pivotButton="0" quotePrefix="0" xfId="0"/>
    <xf numFmtId="0" fontId="20" fillId="10" borderId="0" pivotButton="0" quotePrefix="0" xfId="0"/>
    <xf numFmtId="0" fontId="14" fillId="10" borderId="0" pivotButton="0" quotePrefix="0" xfId="0"/>
    <xf numFmtId="0" fontId="0" fillId="13" borderId="0" pivotButton="0" quotePrefix="0" xfId="0"/>
    <xf numFmtId="0" fontId="21" fillId="0" borderId="0" pivotButton="0" quotePrefix="0" xfId="0"/>
    <xf numFmtId="0" fontId="22" fillId="0" borderId="0" pivotButton="0" quotePrefix="0" xfId="0"/>
    <xf numFmtId="0" fontId="23" fillId="0" borderId="0" pivotButton="0" quotePrefix="0" xfId="0"/>
    <xf numFmtId="0" fontId="12" fillId="14" borderId="0" pivotButton="0" quotePrefix="0" xfId="0"/>
  </cellXfs>
  <cellStyles count="2">
    <cellStyle name="Normal" xfId="0" builtinId="0"/>
    <cellStyle name="Moneda" xfId="1" builtinId="4"/>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J11" sqref="J11"/>
    </sheetView>
  </sheetViews>
  <sheetFormatPr baseColWidth="10" defaultColWidth="8.7109375" defaultRowHeight="15"/>
  <cols>
    <col width="40" customWidth="1" min="1" max="1"/>
    <col width="15" customWidth="1" min="2" max="2"/>
  </cols>
  <sheetData>
    <row r="1" ht="18.75" customHeight="1">
      <c r="A1" s="1" t="inlineStr">
        <is>
          <t>CONFIGURACIÓN PERSONAL</t>
        </is>
      </c>
    </row>
    <row r="3">
      <c r="A3" t="inlineStr">
        <is>
          <t>¿Tiene cónyuge a cargo?</t>
        </is>
      </c>
      <c r="B3" s="2" t="inlineStr">
        <is>
          <t>NO</t>
        </is>
      </c>
    </row>
    <row r="4">
      <c r="A4" t="inlineStr">
        <is>
          <t>Cantidad de hijos</t>
        </is>
      </c>
      <c r="B4" s="2" t="n">
        <v>0</v>
      </c>
    </row>
    <row r="5">
      <c r="A5" t="inlineStr">
        <is>
          <t>Hijos incapacitados</t>
        </is>
      </c>
      <c r="B5" s="2" t="n">
        <v>0</v>
      </c>
    </row>
    <row r="7">
      <c r="A7" t="inlineStr">
        <is>
          <t>Tipo de Deducción Especial:</t>
        </is>
      </c>
      <c r="B7" t="inlineStr">
        <is>
          <t>General / Profesionales / Corredores-Viajantes / Personal Antártida</t>
        </is>
      </c>
    </row>
    <row r="8">
      <c r="A8" t="inlineStr">
        <is>
          <t>Seleccione:</t>
        </is>
      </c>
      <c r="B8" s="2" t="inlineStr">
        <is>
          <t>General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70"/>
  <sheetViews>
    <sheetView topLeftCell="A39" zoomScale="75" zoomScaleNormal="75" workbookViewId="0">
      <selection activeCell="G17" sqref="G17"/>
    </sheetView>
  </sheetViews>
  <sheetFormatPr baseColWidth="10" defaultColWidth="8.7109375" defaultRowHeight="15"/>
  <cols>
    <col width="40" customWidth="1" min="1" max="1"/>
    <col width="15" customWidth="1" min="2" max="2"/>
    <col width="52.7109375" bestFit="1" customWidth="1" min="4" max="4"/>
    <col width="24.28515625" customWidth="1" min="5" max="5"/>
    <col width="14.85546875" bestFit="1" customWidth="1" min="6" max="6"/>
    <col width="132.28515625" bestFit="1" customWidth="1" min="7" max="7"/>
    <col width="21.28515625" bestFit="1" customWidth="1" min="8" max="8"/>
    <col width="18.5703125" customWidth="1" min="9" max="9"/>
    <col width="21.140625" customWidth="1" min="10" max="10"/>
    <col width="16.85546875" customWidth="1" min="11" max="11"/>
    <col width="13.7109375" customWidth="1" min="12" max="12"/>
    <col width="11" customWidth="1" min="13" max="13"/>
    <col width="15" customWidth="1" min="14" max="14"/>
    <col width="23.140625" customWidth="1" min="15" max="15"/>
    <col width="26.42578125" customWidth="1" min="16" max="16"/>
  </cols>
  <sheetData>
    <row r="1" ht="15.75" customHeight="1">
      <c r="A1" s="3" t="inlineStr">
        <is>
          <t>DEDUCCIONES PERSONALES - Enero a Junio 2025</t>
        </is>
      </c>
      <c r="D1" s="3" t="inlineStr">
        <is>
          <t>DEDUCCIONES PERSONALES - Julio a Diciembre 2025</t>
        </is>
      </c>
    </row>
    <row r="2"/>
    <row r="3">
      <c r="A3" t="inlineStr">
        <is>
          <t>Ganancia No Imponible (MNI)</t>
        </is>
      </c>
      <c r="B3" t="n">
        <v>326355.7</v>
      </c>
      <c r="D3" t="inlineStr">
        <is>
          <t>Ganancia No Imponible (MNI)</t>
        </is>
      </c>
      <c r="E3" t="n">
        <v>326355.7</v>
      </c>
    </row>
    <row r="4">
      <c r="A4" t="inlineStr">
        <is>
          <t>Deducción por Cónyuge</t>
        </is>
      </c>
      <c r="B4" t="n">
        <v>302130.08</v>
      </c>
      <c r="D4" t="inlineStr">
        <is>
          <t>Deducción por Cónyuge</t>
        </is>
      </c>
      <c r="E4" t="n">
        <v>302130.08</v>
      </c>
    </row>
    <row r="5">
      <c r="A5" t="inlineStr">
        <is>
          <t>Deducción por Hijo</t>
        </is>
      </c>
      <c r="B5" t="n">
        <v>159273.44</v>
      </c>
      <c r="D5" t="inlineStr">
        <is>
          <t>Deducción por Hijo</t>
        </is>
      </c>
      <c r="E5" t="n">
        <v>159273.44</v>
      </c>
    </row>
    <row r="6">
      <c r="A6" t="inlineStr">
        <is>
          <t>Deducción por Hijo Incapacitado</t>
        </is>
      </c>
      <c r="B6" t="n">
        <v>318546.87</v>
      </c>
      <c r="D6" t="inlineStr">
        <is>
          <t>Deducción por Hijo Incapacitado</t>
        </is>
      </c>
      <c r="E6" t="n">
        <v>318546.87</v>
      </c>
    </row>
    <row r="7"/>
    <row r="8">
      <c r="A8" t="inlineStr">
        <is>
          <t>Deducción Especial - General</t>
        </is>
      </c>
      <c r="B8" t="n">
        <v>1142244.94</v>
      </c>
      <c r="D8" t="inlineStr">
        <is>
          <t>Deducción Especial - General</t>
        </is>
      </c>
      <c r="E8" t="n">
        <v>1142244.94</v>
      </c>
    </row>
    <row r="9">
      <c r="A9" t="inlineStr">
        <is>
          <t>Deducción Especial - Profesionales Nuevos</t>
        </is>
      </c>
      <c r="B9" t="n">
        <v>1713367.4</v>
      </c>
      <c r="D9" t="inlineStr">
        <is>
          <t>Deducción Especial - Profesionales Nuevos</t>
        </is>
      </c>
      <c r="E9" t="n">
        <v>1713367.4</v>
      </c>
    </row>
    <row r="10">
      <c r="A10" s="20" t="inlineStr">
        <is>
          <t>Deducción Especial - Zona Desfavorable</t>
        </is>
      </c>
      <c r="B10" s="20" t="n">
        <v>1827832.9</v>
      </c>
      <c r="C10" s="20" t="n"/>
      <c r="D10" s="49" t="inlineStr">
        <is>
          <t>Deducción Especial - Zona Desfavorable (NO VIGENTE 2025)</t>
        </is>
      </c>
      <c r="E10" s="49" t="n">
        <v>0</v>
      </c>
    </row>
    <row r="11"/>
    <row r="12"/>
    <row r="13" ht="15.75" customHeight="1">
      <c r="A13" s="9" t="inlineStr">
        <is>
          <t>ESCALAS PROGRESIVAS - ENERO A JUNIO 2025 (Tabla Oficial ARCA)</t>
        </is>
      </c>
    </row>
    <row r="14">
      <c r="A14" s="8" t="inlineStr">
        <is>
          <t>Ganancia Neta Acumulada</t>
        </is>
      </c>
      <c r="B14" s="8" t="inlineStr">
        <is>
          <t>Hasta</t>
        </is>
      </c>
      <c r="C14" s="8" t="inlineStr">
        <is>
          <t>Pagarán</t>
        </is>
      </c>
      <c r="D14" s="8" t="inlineStr">
        <is>
          <t>Más el %</t>
        </is>
      </c>
      <c r="E14" s="8" t="inlineStr">
        <is>
          <t>Sobre excedente de</t>
        </is>
      </c>
    </row>
    <row r="15">
      <c r="A15" t="n">
        <v>0</v>
      </c>
      <c r="B15" t="n">
        <v>126697.64</v>
      </c>
      <c r="C15" t="n">
        <v>0</v>
      </c>
      <c r="D15" t="n">
        <v>0.05</v>
      </c>
      <c r="E15" t="n">
        <v>0</v>
      </c>
    </row>
    <row r="16">
      <c r="A16" t="n">
        <v>126697.64</v>
      </c>
      <c r="B16" t="n">
        <v>253395.28</v>
      </c>
      <c r="C16" t="n">
        <v>6334.88</v>
      </c>
      <c r="D16" t="n">
        <v>0.09</v>
      </c>
      <c r="E16" t="n">
        <v>126697.64</v>
      </c>
    </row>
    <row r="17">
      <c r="A17" t="n">
        <v>253395.28</v>
      </c>
      <c r="B17" t="n">
        <v>380092.92</v>
      </c>
      <c r="C17" t="n">
        <v>17737.67</v>
      </c>
      <c r="D17" t="n">
        <v>0.12</v>
      </c>
      <c r="E17" t="n">
        <v>253395.28</v>
      </c>
    </row>
    <row r="18">
      <c r="A18" t="n">
        <v>380092.92</v>
      </c>
      <c r="B18" t="n">
        <v>570139.38</v>
      </c>
      <c r="C18" t="n">
        <v>32941.39</v>
      </c>
      <c r="D18" t="n">
        <v>0.15</v>
      </c>
      <c r="E18" t="n">
        <v>380092.92</v>
      </c>
    </row>
    <row r="19">
      <c r="A19" t="n">
        <v>570139.38</v>
      </c>
      <c r="B19" t="n">
        <v>1140278.75</v>
      </c>
      <c r="C19" t="n">
        <v>61448.36</v>
      </c>
      <c r="D19" t="n">
        <v>0.19</v>
      </c>
      <c r="E19" t="n">
        <v>570139.38</v>
      </c>
    </row>
    <row r="20">
      <c r="A20" t="n">
        <v>1140278.75</v>
      </c>
      <c r="B20" t="n">
        <v>1710418.13</v>
      </c>
      <c r="C20" t="n">
        <v>169774.84</v>
      </c>
      <c r="D20" t="n">
        <v>0.23</v>
      </c>
      <c r="E20" t="n">
        <v>1140278.75</v>
      </c>
    </row>
    <row r="21">
      <c r="A21" t="n">
        <v>1710418.13</v>
      </c>
      <c r="B21" t="n">
        <v>2565627.2</v>
      </c>
      <c r="C21" t="n">
        <v>300906.89</v>
      </c>
      <c r="D21" t="n">
        <v>0.27</v>
      </c>
      <c r="E21" t="n">
        <v>1710418.13</v>
      </c>
    </row>
    <row r="22">
      <c r="A22" t="n">
        <v>2565627.2</v>
      </c>
      <c r="B22" t="n">
        <v>3848440.79</v>
      </c>
      <c r="C22" t="n">
        <v>531813.34</v>
      </c>
      <c r="D22" t="n">
        <v>0.31</v>
      </c>
      <c r="E22" t="n">
        <v>2565627.2</v>
      </c>
    </row>
    <row r="23">
      <c r="A23" t="n">
        <v>3848440.79</v>
      </c>
      <c r="C23" t="n">
        <v>929485.5600000001</v>
      </c>
      <c r="D23" t="n">
        <v>0.35</v>
      </c>
      <c r="E23" t="n">
        <v>3848440.79</v>
      </c>
    </row>
    <row r="24"/>
    <row r="25" ht="15.75" customHeight="1">
      <c r="A25" s="3" t="inlineStr">
        <is>
          <t>ESCALAS PROGRESIVAS - Julio a Diciembre 2025</t>
        </is>
      </c>
    </row>
    <row r="26" ht="15.75" customHeight="1">
      <c r="A26" s="9" t="inlineStr">
        <is>
          <t>ESCALAS PROGRESIVAS - JULIO A DICIEMBRE 2025 (Tabla Oficial ARCA)</t>
        </is>
      </c>
      <c r="B26" t="inlineStr">
        <is>
          <t>Hasta</t>
        </is>
      </c>
      <c r="C26" t="inlineStr">
        <is>
          <t>Pagarás</t>
        </is>
      </c>
      <c r="D26" t="inlineStr">
        <is>
          <t>Más el %</t>
        </is>
      </c>
      <c r="E26" t="inlineStr">
        <is>
          <t>Sobre excedente de</t>
        </is>
      </c>
    </row>
    <row r="27">
      <c r="A27" s="8" t="inlineStr">
        <is>
          <t>Ganancia Neta Acumulada</t>
        </is>
      </c>
      <c r="B27" s="8" t="inlineStr">
        <is>
          <t>Hasta</t>
        </is>
      </c>
      <c r="C27" s="8" t="inlineStr">
        <is>
          <t>Pagarán</t>
        </is>
      </c>
      <c r="D27" s="8" t="inlineStr">
        <is>
          <t>Más el %</t>
        </is>
      </c>
      <c r="E27" s="8" t="inlineStr">
        <is>
          <t>Sobre excedente de</t>
        </is>
      </c>
    </row>
    <row r="28">
      <c r="A28" t="n">
        <v>0</v>
      </c>
      <c r="B28" t="n">
        <v>886883.47</v>
      </c>
      <c r="C28" t="n">
        <v>0</v>
      </c>
      <c r="D28" t="n">
        <v>0.05</v>
      </c>
      <c r="E28" t="n">
        <v>0</v>
      </c>
    </row>
    <row r="29">
      <c r="A29" t="n">
        <v>886883.47</v>
      </c>
      <c r="B29" t="n">
        <v>1773766.95</v>
      </c>
      <c r="C29" t="n">
        <v>44344.17</v>
      </c>
      <c r="D29" t="n">
        <v>0.09</v>
      </c>
      <c r="E29" t="n">
        <v>886883.47</v>
      </c>
    </row>
    <row r="30">
      <c r="A30" t="n">
        <v>1773766.95</v>
      </c>
      <c r="B30" t="n">
        <v>2660650.42</v>
      </c>
      <c r="C30" t="n">
        <v>124163.69</v>
      </c>
      <c r="D30" t="n">
        <v>0.12</v>
      </c>
      <c r="E30" t="n">
        <v>1773766.95</v>
      </c>
    </row>
    <row r="31">
      <c r="A31" t="n">
        <v>2660650.42</v>
      </c>
      <c r="B31" t="n">
        <v>3990975.64</v>
      </c>
      <c r="C31" t="n">
        <v>230589.7</v>
      </c>
      <c r="D31" t="n">
        <v>0.15</v>
      </c>
      <c r="E31" t="n">
        <v>2660650.42</v>
      </c>
    </row>
    <row r="32">
      <c r="A32" t="n">
        <v>3990975.64</v>
      </c>
      <c r="B32" t="n">
        <v>7981951.27</v>
      </c>
      <c r="C32" t="n">
        <v>430138.49</v>
      </c>
      <c r="D32" t="n">
        <v>0.19</v>
      </c>
      <c r="E32" t="n">
        <v>3990975.64</v>
      </c>
    </row>
    <row r="33">
      <c r="A33" t="n">
        <v>7981951.27</v>
      </c>
      <c r="B33" t="n">
        <v>11972926.91</v>
      </c>
      <c r="C33" t="n">
        <v>1188423.86</v>
      </c>
      <c r="D33" t="n">
        <v>0.23</v>
      </c>
      <c r="E33" t="n">
        <v>7981951.27</v>
      </c>
    </row>
    <row r="34">
      <c r="A34" t="n">
        <v>11972926.91</v>
      </c>
      <c r="B34" t="n">
        <v>17959390.37</v>
      </c>
      <c r="C34" t="n">
        <v>2106348.25</v>
      </c>
      <c r="D34" t="n">
        <v>0.27</v>
      </c>
      <c r="E34" t="n">
        <v>11972926.91</v>
      </c>
    </row>
    <row r="35">
      <c r="A35" t="n">
        <v>17959390.37</v>
      </c>
      <c r="B35" t="n">
        <v>26939085.55</v>
      </c>
      <c r="C35" t="n">
        <v>3722693.39</v>
      </c>
      <c r="D35" t="n">
        <v>0.31</v>
      </c>
      <c r="E35" t="n">
        <v>17959390.37</v>
      </c>
    </row>
    <row r="36">
      <c r="A36" t="n">
        <v>26939085.55</v>
      </c>
      <c r="C36" t="n">
        <v>6506398.89</v>
      </c>
      <c r="D36" t="n">
        <v>0.35</v>
      </c>
      <c r="E36" t="n">
        <v>26939085.55</v>
      </c>
    </row>
    <row r="37"/>
    <row r="38" ht="15.75" customHeight="1">
      <c r="A38" s="3" t="inlineStr">
        <is>
          <t>TOPES MoPre MENSUALES 2025</t>
        </is>
      </c>
      <c r="D38" s="3" t="inlineStr">
        <is>
          <t>DEDUCCIONES GENERALES - TOPES</t>
        </is>
      </c>
      <c r="G38" t="inlineStr">
        <is>
          <t xml:space="preserve">Tope de la deducción: 5% de la ganancia neta del ejercicio acumulada hasta el mes que se liquida (item 6, Ganancia neta del mes que se liquida...) antes de restar de la misma, si los hubiera, los siguientes importes deducibles: </t>
        </is>
      </c>
    </row>
    <row r="39" ht="195" customHeight="1">
      <c r="A39" t="inlineStr">
        <is>
          <t>Mes</t>
        </is>
      </c>
      <c r="B39" t="inlineStr">
        <is>
          <t>Tope MoPre</t>
        </is>
      </c>
      <c r="D39" t="inlineStr">
        <is>
          <t>Concepto</t>
        </is>
      </c>
      <c r="E39" t="inlineStr">
        <is>
          <t>Tope</t>
        </is>
      </c>
      <c r="G39" s="43" t="inlineStr">
        <is>
          <t>Tope5%</t>
        </is>
      </c>
      <c r="H39" s="40" t="inlineStr">
        <is>
          <t>a) donaciones permitidas (ver detalle en anexo)</t>
        </is>
      </c>
      <c r="I39" s="40" t="inlineStr">
        <is>
          <t xml:space="preserve"> b) honorarios pagados por servicios de asistencia sanitaria, médica y paramédica del contribuyente y de las personas que revistan para éste el carácter de cargas de familia (ver detalle en anexo) </t>
        </is>
      </c>
      <c r="J39" s="40" t="inlineStr">
        <is>
          <t xml:space="preserve"> c) quebrantos de años anteriores</t>
        </is>
      </c>
      <c r="K39" s="40" t="inlineStr">
        <is>
          <t>d) ganancia mínima no imponible (monto a deducir fijo y actualizable automáticamente por semestres según IPC acumulada del semestre)</t>
        </is>
      </c>
      <c r="L39" s="40" t="inlineStr">
        <is>
          <t xml:space="preserve"> e) deducción especial (ver detalles en anexo)</t>
        </is>
      </c>
      <c r="M39" s="40" t="inlineStr">
        <is>
          <t xml:space="preserve"> f) deducción especial doceava parte </t>
        </is>
      </c>
      <c r="N39" s="40" t="inlineStr">
        <is>
          <t xml:space="preserve"> g) cargas de familia (ver detalle en anexo)</t>
        </is>
      </c>
      <c r="O39" s="40" t="inlineStr">
        <is>
          <t xml:space="preserve"> descuentos obligatorios efectuados para aportes para obras sociales correspondientes al contribuyente y a las personas que revistan para éste el carácter de cargas de familia</t>
        </is>
      </c>
      <c r="P39" s="40" t="inlineStr">
        <is>
          <t>Importes que se destinen a cuotas o abonos a instituciones que presten cobertura médico asistencial (ej. Medicina prepaga), correspondientes al beneficiario y a las personas que revistan para el mismo el carácter de cargas de familia</t>
        </is>
      </c>
    </row>
    <row r="40">
      <c r="A40" t="inlineStr">
        <is>
          <t>Enero</t>
        </is>
      </c>
      <c r="B40" t="n">
        <v>2910574</v>
      </c>
      <c r="D40" t="inlineStr">
        <is>
          <t>Medicina Prepaga</t>
        </is>
      </c>
      <c r="E40" t="inlineStr">
        <is>
          <t>5% de GNSI</t>
        </is>
      </c>
      <c r="G40" t="inlineStr">
        <is>
          <t>Medicina prepaga</t>
        </is>
      </c>
      <c r="H40" s="42" t="n"/>
      <c r="I40" s="42" t="n"/>
      <c r="J40" s="42" t="n"/>
      <c r="K40" s="42" t="n"/>
      <c r="L40" s="42" t="n"/>
      <c r="M40" s="42" t="n"/>
      <c r="N40" s="42" t="n"/>
      <c r="O40" s="41" t="n"/>
      <c r="P40" s="41" t="n"/>
    </row>
    <row r="41">
      <c r="A41" t="inlineStr">
        <is>
          <t>Febrero</t>
        </is>
      </c>
      <c r="B41" t="n">
        <v>2910574</v>
      </c>
      <c r="D41" s="20" t="inlineStr">
        <is>
          <t>Seguro de Vida</t>
        </is>
      </c>
      <c r="E41" s="20" t="inlineStr">
        <is>
          <t>5% de GNSI</t>
        </is>
      </c>
      <c r="F41" s="50" t="inlineStr">
        <is>
          <t>TOPE FIJO SEMESTRAL ARCA (no 5%)</t>
        </is>
      </c>
    </row>
    <row r="42">
      <c r="A42" t="inlineStr">
        <is>
          <t>Marzo</t>
        </is>
      </c>
      <c r="B42" t="n">
        <v>2910574</v>
      </c>
      <c r="D42" t="inlineStr">
        <is>
          <t>Donaciones</t>
        </is>
      </c>
      <c r="E42" t="inlineStr">
        <is>
          <t>5% de GNSI</t>
        </is>
      </c>
      <c r="G42" t="inlineStr">
        <is>
          <t>Donaciones</t>
        </is>
      </c>
      <c r="H42" s="42" t="n"/>
      <c r="I42" s="42" t="n"/>
      <c r="J42" s="42" t="n"/>
      <c r="K42" s="42" t="n"/>
      <c r="L42" s="42" t="n"/>
      <c r="M42" s="42" t="n"/>
      <c r="N42" s="42" t="n"/>
      <c r="O42" s="42" t="n"/>
      <c r="P42" s="42" t="n"/>
    </row>
    <row r="43">
      <c r="A43" t="inlineStr">
        <is>
          <t>Abril</t>
        </is>
      </c>
      <c r="B43" t="n">
        <v>2910574</v>
      </c>
      <c r="D43" t="inlineStr">
        <is>
          <t>Alquiler 40%</t>
        </is>
      </c>
      <c r="E43" t="inlineStr">
        <is>
          <t>Hasta MNI</t>
        </is>
      </c>
    </row>
    <row r="44">
      <c r="A44" t="inlineStr">
        <is>
          <t>Mayo</t>
        </is>
      </c>
      <c r="B44" t="n">
        <v>2910574</v>
      </c>
      <c r="D44" t="inlineStr">
        <is>
          <t>Empleada Doméstica</t>
        </is>
      </c>
      <c r="E44" t="inlineStr">
        <is>
          <t>Hasta MNI</t>
        </is>
      </c>
    </row>
    <row r="45">
      <c r="A45" t="inlineStr">
        <is>
          <t>Junio</t>
        </is>
      </c>
      <c r="B45" t="n">
        <v>2910574</v>
      </c>
      <c r="D45" t="inlineStr">
        <is>
          <t>Honorarios por servicios de asistencia médica, paramédica y sanitaria</t>
        </is>
      </c>
      <c r="F45" s="51" t="inlineStr">
        <is>
          <t>40% por factura + Tope 5% GNSI total</t>
        </is>
      </c>
      <c r="G45" t="inlineStr">
        <is>
          <t>Honorarios por servicios de asistencia médica, paramédica y sanitaria</t>
        </is>
      </c>
      <c r="H45" s="42" t="n"/>
      <c r="I45" s="41" t="n"/>
      <c r="J45" s="42" t="n"/>
      <c r="K45" s="42" t="n"/>
      <c r="L45" s="42" t="n"/>
      <c r="M45" s="42" t="n"/>
      <c r="N45" s="42" t="n"/>
      <c r="O45" s="42" t="n"/>
      <c r="P45" s="42" t="n"/>
    </row>
    <row r="46">
      <c r="A46" t="inlineStr">
        <is>
          <t>Julio</t>
        </is>
      </c>
      <c r="B46" t="n">
        <v>2910574</v>
      </c>
    </row>
    <row r="47">
      <c r="A47" t="inlineStr">
        <is>
          <t>Agosto</t>
        </is>
      </c>
      <c r="B47" t="n">
        <v>2910574</v>
      </c>
    </row>
    <row r="48">
      <c r="A48" t="inlineStr">
        <is>
          <t>Septiembre</t>
        </is>
      </c>
      <c r="B48" t="n">
        <v>2910574</v>
      </c>
    </row>
    <row r="49">
      <c r="A49" t="inlineStr">
        <is>
          <t>Octubre</t>
        </is>
      </c>
      <c r="B49" t="n">
        <v>2910574</v>
      </c>
    </row>
    <row r="50">
      <c r="A50" t="inlineStr">
        <is>
          <t>Noviembre</t>
        </is>
      </c>
      <c r="B50" t="n">
        <v>2910574</v>
      </c>
      <c r="E50" s="39" t="inlineStr">
        <is>
          <t>Otros topes deducibles:</t>
        </is>
      </c>
    </row>
    <row r="51">
      <c r="A51" t="inlineStr">
        <is>
          <t>Diciembre</t>
        </is>
      </c>
      <c r="B51" t="n">
        <v>3731212</v>
      </c>
    </row>
    <row r="54">
      <c r="F54" s="21" t="inlineStr">
        <is>
          <t>Tipo deducción</t>
        </is>
      </c>
      <c r="G54" s="22" t="inlineStr">
        <is>
          <t>Concepto deducible</t>
        </is>
      </c>
      <c r="H54" s="22" t="inlineStr">
        <is>
          <t>Tope deducible</t>
        </is>
      </c>
    </row>
    <row r="55" ht="45" customHeight="1">
      <c r="F55" s="23" t="inlineStr">
        <is>
          <t>Deducciones generales (apartado D)</t>
        </is>
      </c>
      <c r="G55" s="24" t="inlineStr">
        <is>
          <t xml:space="preserve"> - Primas de seguro para casos de muerte pagadas</t>
        </is>
      </c>
      <c r="H55" s="25" t="inlineStr">
        <is>
          <t>2025: $573.817,13
2026: $753.472,14</t>
        </is>
      </c>
    </row>
    <row r="56" ht="30" customHeight="1">
      <c r="F56" s="26" t="n"/>
      <c r="G56" s="27" t="inlineStr">
        <is>
          <t xml:space="preserve"> - Primas que cubran el riesgo de muerte y primas de ahorro (seguros mixtos), excepto para los casos de seguros retiro privados administrados por entidades sujetas al control de la Superintendencia de Seguros de la Nación, pagados </t>
        </is>
      </c>
      <c r="H56" s="28" t="inlineStr">
        <is>
          <t>2025: $573.817,13
2026: $753.472,14</t>
        </is>
      </c>
    </row>
    <row r="57" ht="30" customHeight="1">
      <c r="F57" s="26" t="n"/>
      <c r="G57" s="27" t="inlineStr">
        <is>
          <t xml:space="preserve">  - Pagos por adquisición de cuotapartes de fondos comunes de inversión que se constituyan con fines de retiro (Regulados por Comisión Nac. de Valores)</t>
        </is>
      </c>
      <c r="H57" s="28" t="inlineStr">
        <is>
          <t>2025: $573.817,13
2026: $753.472,14</t>
        </is>
      </c>
    </row>
    <row r="58" ht="30" customHeight="1">
      <c r="F58" s="26" t="n"/>
      <c r="G58" s="27" t="inlineStr">
        <is>
          <t xml:space="preserve"> - Gastos de sepelio del contribuyente o de personas a su cargo</t>
        </is>
      </c>
      <c r="H58" s="29" t="inlineStr">
        <is>
          <t>Total anual deducible $996,23</t>
        </is>
      </c>
    </row>
    <row r="59" ht="45" customHeight="1">
      <c r="F59" s="26" t="n"/>
      <c r="G59" s="30" t="inlineStr">
        <is>
          <t xml:space="preserve"> - Alquileres pagados solamente por vivienda personal. Condiciones: que el alquiler sea facturado (factura o recibo) y que quien lo alquila no sea titular de ningún inmueble en ninguna proporción. Forma de computar la deducción: se permite deducir el 40% del alquiler pagado. </t>
        </is>
      </c>
      <c r="H59" s="28" t="inlineStr">
        <is>
          <t>Importe equivalente a ganancia no imponible</t>
        </is>
      </c>
    </row>
    <row r="60" ht="30" customHeight="1">
      <c r="F60" s="26" t="n"/>
      <c r="G60" s="30" t="inlineStr">
        <is>
          <t xml:space="preserve"> - Intereses correspondientes a créditos hipotecarios que les hubieran sido otorgados por la compra o construcción de inmuebles destinados a la casa habitación.  </t>
        </is>
      </c>
      <c r="H60" s="29" t="inlineStr">
        <is>
          <t>Total anual deducible $20.000</t>
        </is>
      </c>
    </row>
    <row r="61" ht="45" customHeight="1">
      <c r="F61" s="26" t="n"/>
      <c r="G61" s="27" t="inlineStr">
        <is>
          <t xml:space="preserve"> - Importes abonados al personal que trabaja en casas particulares (haberes + aportes jubilatorio, obra social y ART). Condición: personal registrado y emitido el recibo correspondiente.</t>
        </is>
      </c>
      <c r="H61" s="28" t="inlineStr">
        <is>
          <t>Importe equivalente a ganancia no imponible</t>
        </is>
      </c>
    </row>
    <row r="62" ht="30" customHeight="1">
      <c r="F62" s="26" t="n"/>
      <c r="G62" s="30" t="inlineStr">
        <is>
          <t xml:space="preserve"> - Aportes correspondientes a los planes de seguro de retiro privados administrados por entidades sujetas al control de la Superintendencia de Seguros de la Nación  </t>
        </is>
      </c>
      <c r="H62" s="28" t="inlineStr">
        <is>
          <t>2025: $573.817,13
2026: $753.472,14</t>
        </is>
      </c>
    </row>
    <row r="63" ht="60" customHeight="1">
      <c r="F63" s="26" t="n"/>
      <c r="G63" s="30" t="inlineStr">
        <is>
          <t xml:space="preserve"> - Sumas en concepto de servicios con fines educativos y de las herramientas destinadas a esos efectos pagadas por cargas de familia, de hasta 24 años inclusive (incapacitados para el trabajo sín límites de edad) en tanto cursen estudios regulares o profesionales de un arte u oficio, que les impida proveerse de medios necesarios para sostenerse independientemente y que no tengan en el año ingresos netos superiores al importe de la "ganancia no imponible del punto 9). </t>
        </is>
      </c>
      <c r="H63" s="31" t="inlineStr">
        <is>
          <t>Importe equivalente a 40% de ganancia no imponible</t>
        </is>
      </c>
    </row>
    <row r="64" ht="60" customHeight="1">
      <c r="F64" s="26" t="n"/>
      <c r="G64" s="32" t="inlineStr">
        <is>
          <t xml:space="preserve"> - Importe adicional alquileres pagados solamente por vivienda personal. Este adicional es deducible tanto por el locatario (quien alquila) como por el locador (el dueño del inmueble). Condiciones generales: que el alquiler sea facturado (factura o recibo) y que el contrato de alquiler esté registrado en ARCA en el servicio "Registro de locación de inmuebles - RELI". Condición adicional solo locatario: que quien lo alquila no sea titular de ningún inmueble en ninguna proporción. Forma de computar la deducción: se permite deducir el 10% del alquiler pagado. </t>
        </is>
      </c>
      <c r="H64" s="28" t="inlineStr">
        <is>
          <t>Importe equivalente a ganancia no imponible</t>
        </is>
      </c>
    </row>
    <row r="65" ht="90" customHeight="1">
      <c r="F65" s="23" t="inlineStr">
        <is>
          <t>Deducciones personales (apartado E)</t>
        </is>
      </c>
      <c r="G65" s="27" t="inlineStr">
        <is>
          <t xml:space="preserve">Ganancias no imponibles </t>
        </is>
      </c>
      <c r="H65" s="33" t="inlineStr">
        <is>
          <t>2025: $4.507.505,52</t>
        </is>
      </c>
    </row>
    <row r="66">
      <c r="F66" s="26" t="n"/>
      <c r="G66" s="34" t="inlineStr">
        <is>
          <t>Cargas de familia - cónyuge</t>
        </is>
      </c>
      <c r="H66" s="35" t="inlineStr">
        <is>
          <t>2025: $4.245.166,13</t>
        </is>
      </c>
    </row>
    <row r="67">
      <c r="F67" s="26" t="n"/>
      <c r="G67" s="32" t="inlineStr">
        <is>
          <t>Cargas de familia - Hijos</t>
        </is>
      </c>
      <c r="H67" s="35" t="inlineStr">
        <is>
          <t>2025: $2.140.852,77</t>
        </is>
      </c>
    </row>
    <row r="68">
      <c r="F68" s="26" t="n"/>
      <c r="G68" s="32" t="inlineStr">
        <is>
          <t>Cargas de familia - Hijos incapacitados para el trabajo</t>
        </is>
      </c>
      <c r="H68" s="36" t="inlineStr">
        <is>
          <t>2025: $4.281.705,53</t>
        </is>
      </c>
    </row>
    <row r="69">
      <c r="F69" s="26" t="n"/>
      <c r="G69" s="37" t="inlineStr">
        <is>
          <t>Deducción especial - Para trabajadores bajo relación dependencia / desempeño de cargos públicos y jubilados no incluidos en punto siguiente</t>
        </is>
      </c>
      <c r="H69" s="35" t="inlineStr">
        <is>
          <t>2025: $21.636.026,50</t>
        </is>
      </c>
    </row>
    <row r="70" ht="45" customHeight="1">
      <c r="F70" s="26" t="n"/>
      <c r="G70" s="38" t="inlineStr">
        <is>
          <t xml:space="preserve">Para jubilados que no tengan otros ingresos adicionales a la jubilación/pensión etc y no tributen bienes personales (evento condicional)
</t>
        </is>
      </c>
      <c r="H70" s="25" t="inlineStr">
        <is>
          <t>12/2025: $349.299,32 Tope deducible : $2.794.394,56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2"/>
  <sheetViews>
    <sheetView zoomScale="75" zoomScaleNormal="75" workbookViewId="0">
      <selection activeCell="B23" sqref="B23"/>
    </sheetView>
  </sheetViews>
  <sheetFormatPr baseColWidth="10" defaultColWidth="8.7109375" defaultRowHeight="15"/>
  <cols>
    <col width="50" customWidth="1" min="1" max="1"/>
    <col width="15.5703125" bestFit="1" customWidth="1" style="17" min="2" max="6"/>
    <col width="16.140625" bestFit="1" customWidth="1" style="17" min="7" max="7"/>
    <col width="15.5703125" bestFit="1" customWidth="1" style="17" min="8" max="12"/>
    <col width="16.140625" bestFit="1" customWidth="1" style="17" min="13" max="13"/>
    <col width="26.85546875" customWidth="1" min="14" max="14"/>
    <col width="39.5703125" customWidth="1" min="15" max="15"/>
  </cols>
  <sheetData>
    <row r="1">
      <c r="A1" s="4" t="inlineStr">
        <is>
          <t>CONCEPTO</t>
        </is>
      </c>
      <c r="B1" s="16" t="inlineStr">
        <is>
          <t>Ene</t>
        </is>
      </c>
      <c r="C1" s="16" t="inlineStr">
        <is>
          <t>Feb</t>
        </is>
      </c>
      <c r="D1" s="16" t="inlineStr">
        <is>
          <t>Mar</t>
        </is>
      </c>
      <c r="E1" s="16" t="inlineStr">
        <is>
          <t>Abr</t>
        </is>
      </c>
      <c r="F1" s="16" t="inlineStr">
        <is>
          <t>May</t>
        </is>
      </c>
      <c r="G1" s="16" t="inlineStr">
        <is>
          <t>Jun</t>
        </is>
      </c>
      <c r="H1" s="16" t="inlineStr">
        <is>
          <t>Jul</t>
        </is>
      </c>
      <c r="I1" s="16" t="inlineStr">
        <is>
          <t>Ago</t>
        </is>
      </c>
      <c r="J1" s="16" t="inlineStr">
        <is>
          <t>Sep</t>
        </is>
      </c>
      <c r="K1" s="16" t="inlineStr">
        <is>
          <t>Oct</t>
        </is>
      </c>
      <c r="L1" s="16" t="inlineStr">
        <is>
          <t>Nov</t>
        </is>
      </c>
      <c r="M1" s="16" t="inlineStr">
        <is>
          <t>Dic</t>
        </is>
      </c>
    </row>
    <row r="2" ht="18.75" customHeight="1">
      <c r="A2" s="5" t="inlineStr">
        <is>
          <t>LIQUIDACIÓN ANUAL 2025 - IMPUESTO A LAS GANANCIAS (4ta CATEGORÍA)</t>
        </is>
      </c>
    </row>
    <row r="3">
      <c r="A3" s="6" t="inlineStr">
        <is>
          <t>1. INGRESOS DEL MES</t>
        </is>
      </c>
    </row>
    <row r="4">
      <c r="A4" s="7" t="inlineStr">
        <is>
          <t>Sueldo Básico</t>
        </is>
      </c>
      <c r="B4" s="18" t="n">
        <v>5927497</v>
      </c>
      <c r="C4" s="18" t="n">
        <v>0</v>
      </c>
      <c r="D4" s="18" t="n">
        <v>0</v>
      </c>
      <c r="E4" s="18" t="n">
        <v>0</v>
      </c>
      <c r="F4" s="18" t="n">
        <v>0</v>
      </c>
      <c r="G4" s="18" t="n">
        <v>0</v>
      </c>
      <c r="H4" s="18" t="n">
        <v>0</v>
      </c>
      <c r="I4" s="18" t="n">
        <v>0</v>
      </c>
      <c r="J4" s="18" t="n">
        <v>0</v>
      </c>
      <c r="K4" s="18" t="n">
        <v>0</v>
      </c>
      <c r="L4" s="18" t="n">
        <v>0</v>
      </c>
      <c r="M4" s="18" t="n">
        <v>0</v>
      </c>
    </row>
    <row r="5">
      <c r="A5" s="7" t="inlineStr">
        <is>
          <t>Adicionales Habituales</t>
        </is>
      </c>
      <c r="B5" s="18" t="n">
        <v>0</v>
      </c>
      <c r="C5" s="18" t="n">
        <v>0</v>
      </c>
      <c r="D5" s="18" t="n">
        <v>0</v>
      </c>
      <c r="E5" s="18" t="n">
        <v>0</v>
      </c>
      <c r="F5" s="18" t="n">
        <v>0</v>
      </c>
      <c r="G5" s="18" t="n">
        <v>0</v>
      </c>
      <c r="H5" s="18" t="n">
        <v>0</v>
      </c>
      <c r="I5" s="18" t="n">
        <v>0</v>
      </c>
      <c r="J5" s="18" t="n">
        <v>0</v>
      </c>
      <c r="K5" s="18" t="n">
        <v>0</v>
      </c>
      <c r="L5" s="18" t="n">
        <v>0</v>
      </c>
      <c r="M5" s="18" t="n">
        <v>0</v>
      </c>
    </row>
    <row r="6">
      <c r="A6" s="7" t="inlineStr">
        <is>
          <t>Antigüedad</t>
        </is>
      </c>
      <c r="B6" s="18" t="n">
        <v>0</v>
      </c>
      <c r="C6" s="18" t="n">
        <v>0</v>
      </c>
      <c r="D6" s="18" t="n">
        <v>0</v>
      </c>
      <c r="E6" s="18" t="n">
        <v>0</v>
      </c>
      <c r="F6" s="18" t="n">
        <v>0</v>
      </c>
      <c r="G6" s="18" t="n">
        <v>0</v>
      </c>
      <c r="H6" s="18" t="n">
        <v>0</v>
      </c>
      <c r="I6" s="18" t="n">
        <v>0</v>
      </c>
      <c r="J6" s="18" t="n">
        <v>0</v>
      </c>
      <c r="K6" s="18" t="n">
        <v>0</v>
      </c>
      <c r="L6" s="18" t="n">
        <v>0</v>
      </c>
      <c r="M6" s="18" t="n">
        <v>0</v>
      </c>
    </row>
    <row r="7">
      <c r="A7" s="7" t="inlineStr">
        <is>
          <t>Comisiones</t>
        </is>
      </c>
      <c r="B7" s="18" t="n">
        <v>0</v>
      </c>
      <c r="C7" s="18" t="n">
        <v>0</v>
      </c>
      <c r="D7" s="18" t="n">
        <v>0</v>
      </c>
      <c r="E7" s="18" t="n">
        <v>0</v>
      </c>
      <c r="F7" s="18" t="n">
        <v>0</v>
      </c>
      <c r="G7" s="18" t="n">
        <v>0</v>
      </c>
      <c r="H7" s="18" t="n">
        <v>0</v>
      </c>
      <c r="I7" s="18" t="n">
        <v>0</v>
      </c>
      <c r="J7" s="18" t="n">
        <v>0</v>
      </c>
      <c r="K7" s="18" t="n">
        <v>0</v>
      </c>
      <c r="L7" s="18" t="n">
        <v>0</v>
      </c>
      <c r="M7" s="18" t="n">
        <v>0</v>
      </c>
    </row>
    <row r="8">
      <c r="A8" s="7" t="inlineStr">
        <is>
          <t>Plus Vacacional</t>
        </is>
      </c>
      <c r="B8" s="18" t="n">
        <v>0</v>
      </c>
      <c r="C8" s="18" t="n">
        <v>0</v>
      </c>
      <c r="D8" s="18" t="n">
        <v>0</v>
      </c>
      <c r="E8" s="18" t="n">
        <v>0</v>
      </c>
      <c r="F8" s="18" t="n">
        <v>0</v>
      </c>
      <c r="G8" s="18" t="n">
        <v>0</v>
      </c>
      <c r="H8" s="18" t="n">
        <v>0</v>
      </c>
      <c r="I8" s="18" t="n">
        <v>0</v>
      </c>
      <c r="J8" s="18" t="n">
        <v>0</v>
      </c>
      <c r="K8" s="18" t="n">
        <v>0</v>
      </c>
      <c r="L8" s="18" t="n">
        <v>0</v>
      </c>
      <c r="M8" s="18" t="n">
        <v>0</v>
      </c>
    </row>
    <row r="9">
      <c r="A9" s="7" t="inlineStr">
        <is>
          <t>Otros Conceptos Remunerativos</t>
        </is>
      </c>
      <c r="B9" s="18" t="n">
        <v>0</v>
      </c>
      <c r="C9" s="18" t="n">
        <v>0</v>
      </c>
      <c r="D9" s="18" t="n">
        <v>0</v>
      </c>
      <c r="E9" s="18" t="n">
        <v>0</v>
      </c>
      <c r="F9" s="18" t="n">
        <v>0</v>
      </c>
      <c r="G9" s="18" t="n">
        <v>0</v>
      </c>
      <c r="H9" s="18" t="n">
        <v>0</v>
      </c>
      <c r="I9" s="18" t="n">
        <v>0</v>
      </c>
      <c r="J9" s="18" t="n">
        <v>0</v>
      </c>
      <c r="K9" s="18" t="n">
        <v>0</v>
      </c>
      <c r="L9" s="18" t="n">
        <v>0</v>
      </c>
      <c r="M9" s="18" t="n">
        <v>0</v>
      </c>
    </row>
    <row r="10">
      <c r="A10" s="7" t="inlineStr">
        <is>
          <t>Conceptos No Remunerativos Habituales</t>
        </is>
      </c>
      <c r="B10" s="18" t="n">
        <v>0</v>
      </c>
      <c r="C10" s="18" t="n">
        <v>0</v>
      </c>
      <c r="D10" s="18" t="n">
        <v>0</v>
      </c>
      <c r="E10" s="18" t="n">
        <v>0</v>
      </c>
      <c r="F10" s="18" t="n">
        <v>0</v>
      </c>
      <c r="G10" s="18" t="n">
        <v>0</v>
      </c>
      <c r="H10" s="18" t="n">
        <v>0</v>
      </c>
      <c r="I10" s="18" t="n">
        <v>0</v>
      </c>
      <c r="J10" s="18" t="n">
        <v>0</v>
      </c>
      <c r="K10" s="18" t="n">
        <v>0</v>
      </c>
      <c r="L10" s="18" t="n">
        <v>0</v>
      </c>
      <c r="M10" s="18" t="n">
        <v>0</v>
      </c>
    </row>
    <row r="11">
      <c r="A11" s="15" t="inlineStr">
        <is>
          <t>Conceptos No Remunerativos No Habituales</t>
        </is>
      </c>
      <c r="B11" s="18" t="n">
        <v>0</v>
      </c>
      <c r="C11" s="18" t="n">
        <v>0</v>
      </c>
      <c r="D11" s="18" t="n">
        <v>0</v>
      </c>
      <c r="E11" s="18" t="n">
        <v>0</v>
      </c>
      <c r="F11" s="18" t="n">
        <v>0</v>
      </c>
      <c r="G11" s="18" t="n">
        <v>0</v>
      </c>
      <c r="H11" s="18" t="n">
        <v>0</v>
      </c>
      <c r="I11" s="18" t="n">
        <v>0</v>
      </c>
      <c r="J11" s="18" t="n">
        <v>0</v>
      </c>
      <c r="K11" s="18" t="n">
        <v>0</v>
      </c>
      <c r="L11" s="18" t="n">
        <v>0</v>
      </c>
      <c r="M11" s="18" t="n">
        <v>0</v>
      </c>
    </row>
    <row r="12">
      <c r="A12" s="7" t="inlineStr">
        <is>
          <t>SAC / Aguinaldo</t>
        </is>
      </c>
      <c r="B12" s="18" t="n">
        <v>0</v>
      </c>
      <c r="C12" s="18" t="n">
        <v>0</v>
      </c>
      <c r="D12" s="18" t="n">
        <v>0</v>
      </c>
      <c r="E12" s="18" t="n">
        <v>0</v>
      </c>
      <c r="F12" s="18" t="n">
        <v>0</v>
      </c>
      <c r="G12" s="18" t="n">
        <v>0</v>
      </c>
      <c r="H12" s="18" t="n">
        <v>0</v>
      </c>
      <c r="I12" s="18" t="n">
        <v>0</v>
      </c>
      <c r="J12" s="18" t="n">
        <v>0</v>
      </c>
      <c r="K12" s="18" t="n">
        <v>0</v>
      </c>
      <c r="L12" s="18" t="n">
        <v>0</v>
      </c>
      <c r="M12" s="18" t="n">
        <v>0</v>
      </c>
    </row>
    <row r="13">
      <c r="A13" s="8" t="inlineStr">
        <is>
          <t>Total Ingresos del Mes</t>
        </is>
      </c>
      <c r="B13" s="17">
        <f>B4+B5+B6+B7+B8+B9+B10+B11+B12</f>
        <v/>
      </c>
      <c r="C13" s="17">
        <f>C4+C5+C6+C7+C8+C9+C10+C11+C12</f>
        <v/>
      </c>
      <c r="D13" s="17">
        <f>D4+D5+D6+D7+D8+D9+D10+D11+D12</f>
        <v/>
      </c>
      <c r="E13" s="17">
        <f>E4+E5+E6+E7+E8+E9+E10+E11+E12</f>
        <v/>
      </c>
      <c r="F13" s="17">
        <f>F4+F5+F6+F7+F8+F9+F10+F11+F12</f>
        <v/>
      </c>
      <c r="G13" s="17">
        <f>G4+G5+G6+G7+G8+G9+G10+G11+G12</f>
        <v/>
      </c>
      <c r="H13" s="17">
        <f>H4+H5+H6+H7+H8+H9+H10+H11+H12</f>
        <v/>
      </c>
      <c r="I13" s="17">
        <f>I4+I5+I6+I7+I8+I9+I10+I11+I12</f>
        <v/>
      </c>
      <c r="J13" s="17">
        <f>J4+J5+J6+J7+J8+J9+J10+J11+J12</f>
        <v/>
      </c>
      <c r="K13" s="17">
        <f>K4+K5+K6+K7+K8+K9+K10+K11+K12</f>
        <v/>
      </c>
      <c r="L13" s="17">
        <f>L4+L5+L6+L7+L8+L9+L10+L11+L12</f>
        <v/>
      </c>
      <c r="M13" s="17">
        <f>M4+M5+M6+M7+M8+M9+M10+M11+M12</f>
        <v/>
      </c>
    </row>
    <row r="14">
      <c r="A14" s="6" t="inlineStr">
        <is>
          <t>2. PLURIEMPLEO (Otros empleos)</t>
        </is>
      </c>
    </row>
    <row r="15">
      <c r="A15" s="7" t="inlineStr">
        <is>
          <t>Retribuciones Habituales Pluriempleo</t>
        </is>
      </c>
      <c r="B15" s="18" t="n">
        <v>0</v>
      </c>
      <c r="C15" s="18" t="n">
        <v>0</v>
      </c>
      <c r="D15" s="18" t="n">
        <v>0</v>
      </c>
      <c r="E15" s="18" t="n">
        <v>0</v>
      </c>
      <c r="F15" s="18" t="n">
        <v>0</v>
      </c>
      <c r="G15" s="18" t="n">
        <v>0</v>
      </c>
      <c r="H15" s="18" t="n">
        <v>0</v>
      </c>
      <c r="I15" s="18" t="n">
        <v>0</v>
      </c>
      <c r="J15" s="18" t="n">
        <v>0</v>
      </c>
      <c r="K15" s="18" t="n">
        <v>0</v>
      </c>
      <c r="L15" s="18" t="n">
        <v>0</v>
      </c>
      <c r="M15" s="18" t="n">
        <v>0</v>
      </c>
    </row>
    <row r="16">
      <c r="A16" s="7" t="inlineStr">
        <is>
          <t>Retribuciones No Habituales Pluriempleo</t>
        </is>
      </c>
      <c r="B16" s="18" t="n">
        <v>0</v>
      </c>
      <c r="C16" s="18" t="n">
        <v>0</v>
      </c>
      <c r="D16" s="18" t="n">
        <v>0</v>
      </c>
      <c r="E16" s="18" t="n">
        <v>0</v>
      </c>
      <c r="F16" s="18" t="n">
        <v>0</v>
      </c>
      <c r="G16" s="18" t="n">
        <v>0</v>
      </c>
      <c r="H16" s="18" t="n">
        <v>0</v>
      </c>
      <c r="I16" s="18" t="n">
        <v>0</v>
      </c>
      <c r="J16" s="18" t="n">
        <v>0</v>
      </c>
      <c r="K16" s="18" t="n">
        <v>0</v>
      </c>
      <c r="L16" s="18" t="n">
        <v>0</v>
      </c>
      <c r="M16" s="18" t="n">
        <v>0</v>
      </c>
    </row>
    <row r="17">
      <c r="A17" s="7" t="inlineStr">
        <is>
          <t>SAC Pluriempleo</t>
        </is>
      </c>
      <c r="B17" s="18" t="n">
        <v>0</v>
      </c>
      <c r="C17" s="18" t="n">
        <v>0</v>
      </c>
      <c r="D17" s="18" t="n">
        <v>0</v>
      </c>
      <c r="E17" s="18" t="n">
        <v>0</v>
      </c>
      <c r="F17" s="18" t="n">
        <v>0</v>
      </c>
      <c r="G17" s="18" t="n">
        <v>0</v>
      </c>
      <c r="H17" s="18" t="n">
        <v>0</v>
      </c>
      <c r="I17" s="18" t="n">
        <v>0</v>
      </c>
      <c r="J17" s="18" t="n">
        <v>0</v>
      </c>
      <c r="K17" s="18" t="n">
        <v>0</v>
      </c>
      <c r="L17" s="18" t="n">
        <v>0</v>
      </c>
      <c r="M17" s="18" t="n">
        <v>0</v>
      </c>
    </row>
    <row r="18">
      <c r="A18" s="8" t="inlineStr">
        <is>
          <t>Total Pluriempleo</t>
        </is>
      </c>
      <c r="B18" s="17">
        <f>B15+B16+B17</f>
        <v/>
      </c>
      <c r="C18" s="17">
        <f>C15+C16+C17</f>
        <v/>
      </c>
      <c r="D18" s="17">
        <f>D15+D16+D17</f>
        <v/>
      </c>
      <c r="E18" s="17">
        <f>E15+E16+E17</f>
        <v/>
      </c>
      <c r="F18" s="17">
        <f>F15+F16+F17</f>
        <v/>
      </c>
      <c r="G18" s="17">
        <f>G15+G16+G17</f>
        <v/>
      </c>
      <c r="H18" s="17">
        <f>H15+H16+H17</f>
        <v/>
      </c>
      <c r="I18" s="17">
        <f>I15+I16+I17</f>
        <v/>
      </c>
      <c r="J18" s="17">
        <f>J15+J16+J17</f>
        <v/>
      </c>
      <c r="K18" s="17">
        <f>K15+K16+K17</f>
        <v/>
      </c>
      <c r="L18" s="17">
        <f>L15+L16+L17</f>
        <v/>
      </c>
      <c r="M18" s="17">
        <f>M15+M16+M17</f>
        <v/>
      </c>
    </row>
    <row r="19">
      <c r="A19" s="6" t="inlineStr">
        <is>
          <t>3. DESCUENTOS OBLIGATORIOS</t>
        </is>
      </c>
    </row>
    <row r="20">
      <c r="A20" t="inlineStr">
        <is>
          <t>Base para Descuentos (con tope MoPre)</t>
        </is>
      </c>
      <c r="B20" s="17">
        <f>MIN(B4+B5+B6+B7+B8+B9+B12+B15+B17,2910574)</f>
        <v/>
      </c>
      <c r="C20" s="17">
        <f>MIN(C4+C5+C6+C7+C8+C9+C12+C15+C17,2910574)</f>
        <v/>
      </c>
      <c r="D20" s="17">
        <f>MIN(D4+D5+D6+D7+D8+D9+D12+D15+D17,2910574)</f>
        <v/>
      </c>
      <c r="E20" s="17">
        <f>MIN(E4+E5+E6+E7+E8+E9+E12+E15+E17,2910574)</f>
        <v/>
      </c>
      <c r="F20" s="17">
        <f>MIN(F4+F5+F6+F7+F8+F9+F12+F15+F17,2910574)</f>
        <v/>
      </c>
      <c r="G20" s="17">
        <f>MIN(G4+G5+G6+G7+G8+G9+G12+G15+G17,2910574)</f>
        <v/>
      </c>
      <c r="H20" s="17">
        <f>MIN(H4+H5+H6+H7+H8+H9+H12+H15+H17,2910574)</f>
        <v/>
      </c>
      <c r="I20" s="17">
        <f>MIN(I4+I5+I6+I7+I8+I9+I12+I15+I17,2910574)</f>
        <v/>
      </c>
      <c r="J20" s="17">
        <f>MIN(J4+J5+J6+J7+J8+J9+J12+J15+J17,2910574)</f>
        <v/>
      </c>
      <c r="K20" s="17">
        <f>MIN(K4+K5+K6+K7+K8+K9+K12+K15+K17,2910574)</f>
        <v/>
      </c>
      <c r="L20" s="17">
        <f>MIN(L4+L5+L6+L7+L8+L9+L12+L15+L17,2910574)</f>
        <v/>
      </c>
      <c r="M20" s="17">
        <f>MIN(M4+M5+M6+M7+M8+M9+M12+M15+M17,3731212)</f>
        <v/>
      </c>
    </row>
    <row r="21">
      <c r="A21" t="inlineStr">
        <is>
          <t>Jubilación 11%</t>
        </is>
      </c>
      <c r="B21" s="17">
        <f>B20*0.11</f>
        <v/>
      </c>
      <c r="C21" s="17">
        <f>C20*0.11</f>
        <v/>
      </c>
      <c r="D21" s="17">
        <f>D20*0.11</f>
        <v/>
      </c>
      <c r="E21" s="17">
        <f>E20*0.11</f>
        <v/>
      </c>
      <c r="F21" s="17">
        <f>F20*0.11</f>
        <v/>
      </c>
      <c r="G21" s="17">
        <f>G20*0.11</f>
        <v/>
      </c>
      <c r="H21" s="17">
        <f>H20*0.11</f>
        <v/>
      </c>
      <c r="I21" s="17">
        <f>I20*0.11</f>
        <v/>
      </c>
      <c r="J21" s="17">
        <f>J20*0.11</f>
        <v/>
      </c>
      <c r="K21" s="17">
        <f>K20*0.11</f>
        <v/>
      </c>
      <c r="L21" s="17">
        <f>L20*0.11</f>
        <v/>
      </c>
      <c r="M21" s="17">
        <f>M20*0.11</f>
        <v/>
      </c>
    </row>
    <row r="22">
      <c r="A22" t="inlineStr">
        <is>
          <t>Obra Social 3%</t>
        </is>
      </c>
      <c r="B22" s="17">
        <f>B20*0.03</f>
        <v/>
      </c>
      <c r="C22" s="17">
        <f>C20*0.03</f>
        <v/>
      </c>
      <c r="D22" s="17">
        <f>D20*0.03</f>
        <v/>
      </c>
      <c r="E22" s="17">
        <f>E20*0.03</f>
        <v/>
      </c>
      <c r="F22" s="17">
        <f>F20*0.03</f>
        <v/>
      </c>
      <c r="G22" s="17">
        <f>G20*0.03</f>
        <v/>
      </c>
      <c r="H22" s="17">
        <f>H20*0.03</f>
        <v/>
      </c>
      <c r="I22" s="17">
        <f>I20*0.03</f>
        <v/>
      </c>
      <c r="J22" s="17">
        <f>J20*0.03</f>
        <v/>
      </c>
      <c r="K22" s="17">
        <f>K20*0.03</f>
        <v/>
      </c>
      <c r="L22" s="17">
        <f>L20*0.03</f>
        <v/>
      </c>
      <c r="M22" s="17">
        <f>M20*0.03</f>
        <v/>
      </c>
    </row>
    <row r="23">
      <c r="A23" t="inlineStr">
        <is>
          <t>INSSJP - Ley 19.032 3%</t>
        </is>
      </c>
      <c r="B23" s="17">
        <f>B20*0.03</f>
        <v/>
      </c>
      <c r="C23" s="17">
        <f>C20*0.03</f>
        <v/>
      </c>
      <c r="D23" s="17">
        <f>D20*0.03</f>
        <v/>
      </c>
      <c r="E23" s="17">
        <f>E20*0.03</f>
        <v/>
      </c>
      <c r="F23" s="17">
        <f>F20*0.03</f>
        <v/>
      </c>
      <c r="G23" s="17">
        <f>G20*0.03</f>
        <v/>
      </c>
      <c r="H23" s="17">
        <f>H20*0.03</f>
        <v/>
      </c>
      <c r="I23" s="17">
        <f>I20*0.03</f>
        <v/>
      </c>
      <c r="J23" s="17">
        <f>J20*0.03</f>
        <v/>
      </c>
      <c r="K23" s="17">
        <f>K20*0.03</f>
        <v/>
      </c>
      <c r="L23" s="17">
        <f>L20*0.03</f>
        <v/>
      </c>
      <c r="M23" s="17">
        <f>M20*0.03</f>
        <v/>
      </c>
    </row>
    <row r="24">
      <c r="A24" s="7" t="inlineStr">
        <is>
          <t>Aportes Sindicales</t>
        </is>
      </c>
      <c r="B24" s="18" t="n">
        <v>0</v>
      </c>
      <c r="C24" s="18" t="n">
        <v>0</v>
      </c>
      <c r="D24" s="18" t="n">
        <v>0</v>
      </c>
      <c r="E24" s="18" t="n">
        <v>0</v>
      </c>
      <c r="F24" s="18" t="n">
        <v>0</v>
      </c>
      <c r="G24" s="18" t="n">
        <v>0</v>
      </c>
      <c r="H24" s="18" t="n">
        <v>0</v>
      </c>
      <c r="I24" s="18" t="n">
        <v>0</v>
      </c>
      <c r="J24" s="18" t="n">
        <v>0</v>
      </c>
      <c r="K24" s="18" t="n">
        <v>0</v>
      </c>
      <c r="L24" s="18" t="n">
        <v>0</v>
      </c>
      <c r="M24" s="18" t="n">
        <v>0</v>
      </c>
    </row>
    <row r="25">
      <c r="A25" s="52" t="inlineStr">
        <is>
          <t>Otros Descuentos Obligatorios por Ley</t>
        </is>
      </c>
      <c r="B25" s="53" t="n">
        <v>0</v>
      </c>
      <c r="C25" s="53" t="n">
        <v>0</v>
      </c>
      <c r="D25" s="53" t="n">
        <v>0</v>
      </c>
      <c r="E25" s="53" t="n">
        <v>0</v>
      </c>
      <c r="F25" s="53" t="n">
        <v>0</v>
      </c>
      <c r="G25" s="53" t="n">
        <v>0</v>
      </c>
      <c r="H25" s="53" t="n">
        <v>0</v>
      </c>
      <c r="I25" s="53" t="n">
        <v>0</v>
      </c>
      <c r="J25" s="53" t="n">
        <v>0</v>
      </c>
      <c r="K25" s="53" t="n">
        <v>0</v>
      </c>
      <c r="L25" s="53" t="n">
        <v>0</v>
      </c>
      <c r="M25" s="53" t="n">
        <v>0</v>
      </c>
    </row>
    <row r="26">
      <c r="A26" s="8" t="inlineStr">
        <is>
          <t>Total Descuentos</t>
        </is>
      </c>
      <c r="B26" s="17">
        <f>SUM(B20:B25)</f>
        <v/>
      </c>
      <c r="C26" s="17">
        <f>SUM(C20:C25)</f>
        <v/>
      </c>
      <c r="D26" s="17">
        <f>SUM(D20:D25)</f>
        <v/>
      </c>
      <c r="E26" s="17">
        <f>SUM(E20:E25)</f>
        <v/>
      </c>
      <c r="F26" s="17">
        <f>SUM(F20:F25)</f>
        <v/>
      </c>
      <c r="G26" s="17">
        <f>SUM(G20:G25)</f>
        <v/>
      </c>
      <c r="H26" s="17">
        <f>SUM(H20:H25)</f>
        <v/>
      </c>
      <c r="I26" s="17">
        <f>SUM(I20:I25)</f>
        <v/>
      </c>
      <c r="J26" s="17">
        <f>SUM(J20:J25)</f>
        <v/>
      </c>
      <c r="K26" s="17">
        <f>SUM(K20:K25)</f>
        <v/>
      </c>
      <c r="L26" s="17">
        <f>SUM(L20:L25)</f>
        <v/>
      </c>
      <c r="M26" s="17">
        <f>SUM(M20:M25)</f>
        <v/>
      </c>
    </row>
    <row r="27">
      <c r="A27" s="6" t="inlineStr">
        <is>
          <t>4. GANANCIA BRUTA</t>
        </is>
      </c>
    </row>
    <row r="28">
      <c r="A28" t="inlineStr">
        <is>
          <t>Ganancia Bruta del Mes</t>
        </is>
      </c>
      <c r="B28" s="17">
        <f>B13+B18-B25</f>
        <v/>
      </c>
      <c r="C28" s="17">
        <f>C13+C18-C25</f>
        <v/>
      </c>
      <c r="D28" s="17">
        <f>D13+D18-D25</f>
        <v/>
      </c>
      <c r="E28" s="17">
        <f>E13+E18-E25</f>
        <v/>
      </c>
      <c r="F28" s="17">
        <f>F13+F18-F25</f>
        <v/>
      </c>
      <c r="G28" s="17">
        <f>G13+G18-G25</f>
        <v/>
      </c>
      <c r="H28" s="17">
        <f>H13+H18-H25</f>
        <v/>
      </c>
      <c r="I28" s="17">
        <f>I13+I18-I25</f>
        <v/>
      </c>
      <c r="J28" s="17">
        <f>J13+J18-J25</f>
        <v/>
      </c>
      <c r="K28" s="17">
        <f>K13+K18-K25</f>
        <v/>
      </c>
      <c r="L28" s="17">
        <f>L13+L18-L25</f>
        <v/>
      </c>
      <c r="M28" s="17">
        <f>M13+M18-M25</f>
        <v/>
      </c>
    </row>
    <row r="29">
      <c r="A29" t="inlineStr">
        <is>
          <t>SAC Proporcional (Acum/12)</t>
        </is>
      </c>
      <c r="B29" s="17">
        <f>B31/12</f>
        <v/>
      </c>
      <c r="C29" s="17">
        <f>C31/12</f>
        <v/>
      </c>
      <c r="D29" s="17">
        <f>D31/12</f>
        <v/>
      </c>
      <c r="E29" s="17">
        <f>E31/12</f>
        <v/>
      </c>
      <c r="F29" s="17">
        <f>F31/12</f>
        <v/>
      </c>
      <c r="G29" s="17">
        <f>G31/12</f>
        <v/>
      </c>
      <c r="H29" s="17">
        <f>H31/12</f>
        <v/>
      </c>
      <c r="I29" s="17">
        <f>I31/12</f>
        <v/>
      </c>
      <c r="J29" s="17">
        <f>J31/12</f>
        <v/>
      </c>
      <c r="K29" s="17">
        <f>K31/12</f>
        <v/>
      </c>
      <c r="L29" s="17">
        <f>L31/12</f>
        <v/>
      </c>
      <c r="M29" s="17">
        <f>M31/12</f>
        <v/>
      </c>
    </row>
    <row r="30">
      <c r="A30" t="inlineStr">
        <is>
          <t>Ajuste SAC Semestral (Jun/Dic)</t>
        </is>
      </c>
      <c r="B30" s="17" t="n">
        <v>0</v>
      </c>
      <c r="C30" s="17" t="n">
        <v>0</v>
      </c>
      <c r="D30" s="17" t="n">
        <v>0</v>
      </c>
      <c r="E30" s="17" t="n">
        <v>0</v>
      </c>
      <c r="F30" s="17" t="n">
        <v>0</v>
      </c>
      <c r="G30" s="17">
        <f>G12-G28*6</f>
        <v/>
      </c>
      <c r="H30" s="17" t="n">
        <v>0</v>
      </c>
      <c r="I30" s="17" t="n">
        <v>0</v>
      </c>
      <c r="J30" s="17" t="n">
        <v>0</v>
      </c>
      <c r="K30" s="17" t="n">
        <v>0</v>
      </c>
      <c r="L30" s="17" t="n">
        <v>0</v>
      </c>
      <c r="M30" s="17">
        <f>M12-M28*12</f>
        <v/>
      </c>
    </row>
    <row r="31">
      <c r="A31" t="inlineStr">
        <is>
          <t>Ganancia Bruta con SAC Proporcional</t>
        </is>
      </c>
      <c r="B31" s="17">
        <f>B27+B28+B29</f>
        <v/>
      </c>
      <c r="C31" s="17">
        <f>C27+C28+C29</f>
        <v/>
      </c>
      <c r="D31" s="17">
        <f>D27+D28+D29</f>
        <v/>
      </c>
      <c r="E31" s="17">
        <f>E27+E28+E29</f>
        <v/>
      </c>
      <c r="F31" s="17">
        <f>F27+F28+F29</f>
        <v/>
      </c>
      <c r="G31" s="17">
        <f>G27+G28+G29</f>
        <v/>
      </c>
      <c r="H31" s="17">
        <f>H27+H28+H29</f>
        <v/>
      </c>
      <c r="I31" s="17">
        <f>I27+I28+I29</f>
        <v/>
      </c>
      <c r="J31" s="17">
        <f>J27+J28+J29</f>
        <v/>
      </c>
      <c r="K31" s="17">
        <f>K27+K28+K29</f>
        <v/>
      </c>
      <c r="L31" s="17">
        <f>L27+L28+L29</f>
        <v/>
      </c>
      <c r="M31" s="17">
        <f>M27+M28+M29</f>
        <v/>
      </c>
    </row>
    <row r="32">
      <c r="A32" t="inlineStr">
        <is>
          <t>Ganancia Bruta Acumulada</t>
        </is>
      </c>
      <c r="B32" s="17">
        <f>B27</f>
        <v/>
      </c>
      <c r="C32" s="17">
        <f>B31+C27</f>
        <v/>
      </c>
      <c r="D32" s="17">
        <f>C31+D27</f>
        <v/>
      </c>
      <c r="E32" s="17">
        <f>D31+E27</f>
        <v/>
      </c>
      <c r="F32" s="17">
        <f>E31+F27</f>
        <v/>
      </c>
      <c r="G32" s="17">
        <f>F31+G27</f>
        <v/>
      </c>
      <c r="H32" s="17">
        <f>G31+H27</f>
        <v/>
      </c>
      <c r="I32" s="17">
        <f>H31+I27</f>
        <v/>
      </c>
      <c r="J32" s="17">
        <f>I31+J27</f>
        <v/>
      </c>
      <c r="K32" s="17">
        <f>J31+K27</f>
        <v/>
      </c>
      <c r="L32" s="17">
        <f>K31+L27</f>
        <v/>
      </c>
      <c r="M32" s="17">
        <f>L31+M27</f>
        <v/>
      </c>
    </row>
    <row r="33">
      <c r="A33" t="inlineStr">
        <is>
          <t>Promedio Remuneración Bruta (para DEA)</t>
        </is>
      </c>
      <c r="B33" s="17">
        <f>B27</f>
        <v/>
      </c>
      <c r="C33" s="17">
        <f>AVERAGE(B27:C27)</f>
        <v/>
      </c>
      <c r="D33" s="17">
        <f>AVERAGE(B27:D27)</f>
        <v/>
      </c>
      <c r="E33" s="17">
        <f>AVERAGE(B27:E27)</f>
        <v/>
      </c>
      <c r="F33" s="17">
        <f>AVERAGE(B27:F27)</f>
        <v/>
      </c>
      <c r="G33" s="17">
        <f>AVERAGE(B27:G27)</f>
        <v/>
      </c>
      <c r="H33" s="17">
        <f>AVERAGE(B27:H27)</f>
        <v/>
      </c>
      <c r="I33" s="17">
        <f>AVERAGE(B27:I27)</f>
        <v/>
      </c>
      <c r="J33" s="17">
        <f>AVERAGE(B27:J27)</f>
        <v/>
      </c>
      <c r="K33" s="17">
        <f>AVERAGE(B27:K27)</f>
        <v/>
      </c>
      <c r="L33" s="17">
        <f>AVERAGE(B27:L27)</f>
        <v/>
      </c>
      <c r="M33" s="17">
        <f>AVERAGE(B27:M27)</f>
        <v/>
      </c>
    </row>
    <row r="34">
      <c r="A34" s="6" t="inlineStr">
        <is>
          <t>5. DEDUCCIONES GENERALES</t>
        </is>
      </c>
    </row>
    <row r="35">
      <c r="A35" s="7" t="inlineStr">
        <is>
          <t>Alquiler pagado (monto total)</t>
        </is>
      </c>
      <c r="B35" s="18" t="n">
        <v>0</v>
      </c>
      <c r="C35" s="18" t="n">
        <v>0</v>
      </c>
      <c r="D35" s="18" t="n">
        <v>0</v>
      </c>
      <c r="E35" s="18" t="n">
        <v>0</v>
      </c>
      <c r="F35" s="18" t="n">
        <v>0</v>
      </c>
      <c r="G35" s="18" t="n">
        <v>0</v>
      </c>
      <c r="H35" s="18" t="n">
        <v>0</v>
      </c>
      <c r="I35" s="18" t="n">
        <v>0</v>
      </c>
      <c r="J35" s="18" t="n">
        <v>0</v>
      </c>
      <c r="K35" s="18" t="n">
        <v>0</v>
      </c>
      <c r="L35" s="18" t="n">
        <v>0</v>
      </c>
      <c r="M35" s="18" t="n">
        <v>0</v>
      </c>
    </row>
    <row r="36">
      <c r="A36" t="inlineStr">
        <is>
          <t>Alquiler 40% (hasta MNI)</t>
        </is>
      </c>
      <c r="B36" s="17">
        <f>MIN(B34*0.4,Parametros!$B$3)</f>
        <v/>
      </c>
      <c r="C36" s="17">
        <f>MIN(C34*0.4,Parametros!$B$3)</f>
        <v/>
      </c>
      <c r="D36" s="17">
        <f>MIN(D34*0.4,Parametros!$B$3)</f>
        <v/>
      </c>
      <c r="E36" s="17">
        <f>MIN(E34*0.4,Parametros!$B$3)</f>
        <v/>
      </c>
      <c r="F36" s="17">
        <f>MIN(F34*0.4,Parametros!$B$3)</f>
        <v/>
      </c>
      <c r="G36" s="17">
        <f>MIN(G34*0.4,Parametros!$B$3)</f>
        <v/>
      </c>
      <c r="H36" s="17">
        <f>MIN(H34*0.4,Parametros!$E$3)</f>
        <v/>
      </c>
      <c r="I36" s="17">
        <f>MIN(I34*0.4,Parametros!$E$3)</f>
        <v/>
      </c>
      <c r="J36" s="17">
        <f>MIN(J34*0.4,Parametros!$E$3)</f>
        <v/>
      </c>
      <c r="K36" s="17">
        <f>MIN(K34*0.4,Parametros!$E$3)</f>
        <v/>
      </c>
      <c r="L36" s="17">
        <f>MIN(L34*0.4,Parametros!$E$3)</f>
        <v/>
      </c>
      <c r="M36" s="17">
        <f>MIN(M34*0.4,Parametros!$E$3)</f>
        <v/>
      </c>
    </row>
    <row r="37">
      <c r="A37" t="inlineStr">
        <is>
          <t>Alquiler 10% Ley 27.737</t>
        </is>
      </c>
      <c r="B37" s="17">
        <f>B34*0.1</f>
        <v/>
      </c>
      <c r="C37" s="17">
        <f>C34*0.1</f>
        <v/>
      </c>
      <c r="D37" s="17">
        <f>D34*0.1</f>
        <v/>
      </c>
      <c r="E37" s="17">
        <f>E34*0.1</f>
        <v/>
      </c>
      <c r="F37" s="17">
        <f>F34*0.1</f>
        <v/>
      </c>
      <c r="G37" s="17">
        <f>G34*0.1</f>
        <v/>
      </c>
      <c r="H37" s="17">
        <f>H34*0.1</f>
        <v/>
      </c>
      <c r="I37" s="17">
        <f>I34*0.1</f>
        <v/>
      </c>
      <c r="J37" s="17">
        <f>J34*0.1</f>
        <v/>
      </c>
      <c r="K37" s="17">
        <f>K34*0.1</f>
        <v/>
      </c>
      <c r="L37" s="17">
        <f>L34*0.1</f>
        <v/>
      </c>
      <c r="M37" s="17">
        <f>M34*0.1</f>
        <v/>
      </c>
    </row>
    <row r="38">
      <c r="A38" s="7" t="inlineStr">
        <is>
          <t>Medicina Prepaga (monto pagado)</t>
        </is>
      </c>
      <c r="B38" s="18" t="n">
        <v>0</v>
      </c>
      <c r="C38" s="18" t="n">
        <v>0</v>
      </c>
      <c r="D38" s="18" t="n">
        <v>0</v>
      </c>
      <c r="E38" s="18" t="n">
        <v>0</v>
      </c>
      <c r="F38" s="18" t="n">
        <v>0</v>
      </c>
      <c r="G38" s="18" t="n">
        <v>0</v>
      </c>
      <c r="H38" s="18" t="n">
        <v>0</v>
      </c>
      <c r="I38" s="18" t="n">
        <v>0</v>
      </c>
      <c r="J38" s="18" t="n">
        <v>0</v>
      </c>
      <c r="K38" s="18" t="n">
        <v>0</v>
      </c>
      <c r="L38" s="18" t="n">
        <v>0</v>
      </c>
      <c r="M38" s="18" t="n">
        <v>0</v>
      </c>
    </row>
    <row r="39">
      <c r="A39" t="inlineStr">
        <is>
          <t>Medicina Prepaga (deducible 5% GNSI)</t>
        </is>
      </c>
      <c r="B39" s="17">
        <f>MIN(B37,B31*0.05)</f>
        <v/>
      </c>
      <c r="C39" s="17">
        <f>MIN(C37,C31*0.05)</f>
        <v/>
      </c>
      <c r="D39" s="17">
        <f>MIN(D37,D31*0.05)</f>
        <v/>
      </c>
      <c r="E39" s="17">
        <f>MIN(E37,E31*0.05)</f>
        <v/>
      </c>
      <c r="F39" s="17">
        <f>MIN(F37,F31*0.05)</f>
        <v/>
      </c>
      <c r="G39" s="17">
        <f>MIN(G37,G31*0.05)</f>
        <v/>
      </c>
      <c r="H39" s="17">
        <f>MIN(H37,H31*0.05)</f>
        <v/>
      </c>
      <c r="I39" s="17">
        <f>MIN(I37,I31*0.05)</f>
        <v/>
      </c>
      <c r="J39" s="17">
        <f>MIN(J37,J31*0.05)</f>
        <v/>
      </c>
      <c r="K39" s="17">
        <f>MIN(K37,K31*0.05)</f>
        <v/>
      </c>
      <c r="L39" s="17">
        <f>MIN(L37,L31*0.05)</f>
        <v/>
      </c>
      <c r="M39" s="17">
        <f>MIN(M37,M31*0.05)</f>
        <v/>
      </c>
    </row>
    <row r="40">
      <c r="A40" s="7" t="inlineStr">
        <is>
          <t>Gastos de Educación (pagados)</t>
        </is>
      </c>
      <c r="B40" s="18" t="n">
        <v>0</v>
      </c>
      <c r="C40" s="18" t="n">
        <v>0</v>
      </c>
      <c r="D40" s="18" t="n">
        <v>0</v>
      </c>
      <c r="E40" s="18" t="n">
        <v>0</v>
      </c>
      <c r="F40" s="18" t="n">
        <v>0</v>
      </c>
      <c r="G40" s="18" t="n">
        <v>0</v>
      </c>
      <c r="H40" s="18" t="n">
        <v>0</v>
      </c>
      <c r="I40" s="18" t="n">
        <v>0</v>
      </c>
      <c r="J40" s="18" t="n">
        <v>0</v>
      </c>
      <c r="K40" s="18" t="n">
        <v>0</v>
      </c>
      <c r="L40" s="18" t="n">
        <v>0</v>
      </c>
      <c r="M40" s="18" t="n">
        <v>0</v>
      </c>
    </row>
    <row r="41">
      <c r="A41" t="inlineStr">
        <is>
          <t>Gastos de Educación (deducibles)</t>
        </is>
      </c>
      <c r="B41" s="17">
        <f>B39</f>
        <v/>
      </c>
      <c r="C41" s="17">
        <f>C39</f>
        <v/>
      </c>
      <c r="D41" s="17">
        <f>D39</f>
        <v/>
      </c>
      <c r="E41" s="17">
        <f>E39</f>
        <v/>
      </c>
      <c r="F41" s="17">
        <f>F39</f>
        <v/>
      </c>
      <c r="G41" s="17">
        <f>G39</f>
        <v/>
      </c>
      <c r="H41" s="17">
        <f>H39</f>
        <v/>
      </c>
      <c r="I41" s="17">
        <f>I39</f>
        <v/>
      </c>
      <c r="J41" s="17">
        <f>J39</f>
        <v/>
      </c>
      <c r="K41" s="17">
        <f>K39</f>
        <v/>
      </c>
      <c r="L41" s="17">
        <f>L39</f>
        <v/>
      </c>
      <c r="M41" s="17">
        <f>M39</f>
        <v/>
      </c>
    </row>
    <row r="42">
      <c r="A42" s="7" t="inlineStr">
        <is>
          <t>Primas Seguro de Vida (pagadas)</t>
        </is>
      </c>
      <c r="B42" s="18" t="n">
        <v>0</v>
      </c>
      <c r="C42" s="18" t="n">
        <v>0</v>
      </c>
      <c r="D42" s="18" t="n">
        <v>0</v>
      </c>
      <c r="E42" s="18" t="n">
        <v>0</v>
      </c>
      <c r="F42" s="18" t="n">
        <v>0</v>
      </c>
      <c r="G42" s="18" t="n">
        <v>0</v>
      </c>
      <c r="H42" s="18" t="n">
        <v>0</v>
      </c>
      <c r="I42" s="18" t="n">
        <v>0</v>
      </c>
      <c r="J42" s="18" t="n">
        <v>0</v>
      </c>
      <c r="K42" s="18" t="n">
        <v>0</v>
      </c>
      <c r="L42" s="18" t="n">
        <v>0</v>
      </c>
      <c r="M42" s="18" t="n">
        <v>0</v>
      </c>
    </row>
    <row r="43">
      <c r="A43" t="inlineStr">
        <is>
          <t>Primas Seguro Vida (deducibles 5% GNSI)</t>
        </is>
      </c>
      <c r="B43" s="17">
        <f>MIN(B41,B31*0.05)</f>
        <v/>
      </c>
      <c r="C43" s="17">
        <f>MIN(C41,C31*0.05)</f>
        <v/>
      </c>
      <c r="D43" s="17">
        <f>MIN(D41,D31*0.05)</f>
        <v/>
      </c>
      <c r="E43" s="17">
        <f>MIN(E41,E31*0.05)</f>
        <v/>
      </c>
      <c r="F43" s="17">
        <f>MIN(F41,F31*0.05)</f>
        <v/>
      </c>
      <c r="G43" s="17">
        <f>MIN(G41,G31*0.05)</f>
        <v/>
      </c>
      <c r="H43" s="17">
        <f>MIN(H41,H31*0.05)</f>
        <v/>
      </c>
      <c r="I43" s="17">
        <f>MIN(I41,I31*0.05)</f>
        <v/>
      </c>
      <c r="J43" s="17">
        <f>MIN(J41,J31*0.05)</f>
        <v/>
      </c>
      <c r="K43" s="17">
        <f>MIN(K41,K31*0.05)</f>
        <v/>
      </c>
      <c r="L43" s="17">
        <f>MIN(L41,L31*0.05)</f>
        <v/>
      </c>
      <c r="M43" s="17">
        <f>MIN(M41,M31*0.05)</f>
        <v/>
      </c>
    </row>
    <row r="44">
      <c r="A44" s="7" t="inlineStr">
        <is>
          <t>Servicio Doméstico</t>
        </is>
      </c>
      <c r="B44" s="18" t="n">
        <v>0</v>
      </c>
      <c r="C44" s="18" t="n">
        <v>0</v>
      </c>
      <c r="D44" s="18" t="n">
        <v>0</v>
      </c>
      <c r="E44" s="18" t="n">
        <v>0</v>
      </c>
      <c r="F44" s="18" t="n">
        <v>0</v>
      </c>
      <c r="G44" s="18" t="n">
        <v>0</v>
      </c>
      <c r="H44" s="18" t="n">
        <v>0</v>
      </c>
      <c r="I44" s="18" t="n">
        <v>0</v>
      </c>
      <c r="J44" s="18" t="n">
        <v>0</v>
      </c>
      <c r="K44" s="18" t="n">
        <v>0</v>
      </c>
      <c r="L44" s="18" t="n">
        <v>0</v>
      </c>
      <c r="M44" s="18" t="n">
        <v>0</v>
      </c>
    </row>
    <row r="45">
      <c r="A45" s="7" t="inlineStr">
        <is>
          <t>Intereses Hipotecarios</t>
        </is>
      </c>
      <c r="B45" s="18" t="n">
        <v>0</v>
      </c>
      <c r="C45" s="18" t="n">
        <v>0</v>
      </c>
      <c r="D45" s="18" t="n">
        <v>0</v>
      </c>
      <c r="E45" s="18" t="n">
        <v>0</v>
      </c>
      <c r="F45" s="18" t="n">
        <v>0</v>
      </c>
      <c r="G45" s="18" t="n">
        <v>0</v>
      </c>
      <c r="H45" s="18" t="n">
        <v>0</v>
      </c>
      <c r="I45" s="18" t="n">
        <v>0</v>
      </c>
      <c r="J45" s="18" t="n">
        <v>0</v>
      </c>
      <c r="K45" s="18" t="n">
        <v>0</v>
      </c>
      <c r="L45" s="18" t="n">
        <v>0</v>
      </c>
      <c r="M45" s="18" t="n">
        <v>0</v>
      </c>
    </row>
    <row r="46">
      <c r="A46" s="7" t="inlineStr">
        <is>
          <t>Donaciones (monto donado)</t>
        </is>
      </c>
      <c r="B46" s="18" t="n">
        <v>0</v>
      </c>
      <c r="C46" s="18" t="n">
        <v>0</v>
      </c>
      <c r="D46" s="18" t="n">
        <v>0</v>
      </c>
      <c r="E46" s="18" t="n">
        <v>0</v>
      </c>
      <c r="F46" s="18" t="n">
        <v>0</v>
      </c>
      <c r="G46" s="18" t="n">
        <v>0</v>
      </c>
      <c r="H46" s="18" t="n">
        <v>0</v>
      </c>
      <c r="I46" s="18" t="n">
        <v>0</v>
      </c>
      <c r="J46" s="18" t="n">
        <v>0</v>
      </c>
      <c r="K46" s="18" t="n">
        <v>0</v>
      </c>
      <c r="L46" s="18" t="n">
        <v>0</v>
      </c>
      <c r="M46" s="18" t="n">
        <v>0</v>
      </c>
    </row>
    <row r="47">
      <c r="A47" t="inlineStr">
        <is>
          <t>Donaciones (deducibles 5% GNSI)</t>
        </is>
      </c>
      <c r="B47" s="17">
        <f>MIN(B45,B31*0.05)</f>
        <v/>
      </c>
      <c r="C47" s="17">
        <f>MIN(C45,C31*0.05)</f>
        <v/>
      </c>
      <c r="D47" s="17">
        <f>MIN(D45,D31*0.05)</f>
        <v/>
      </c>
      <c r="E47" s="17">
        <f>MIN(E45,E31*0.05)</f>
        <v/>
      </c>
      <c r="F47" s="17">
        <f>MIN(F45,F31*0.05)</f>
        <v/>
      </c>
      <c r="G47" s="17">
        <f>MIN(G45,G31*0.05)</f>
        <v/>
      </c>
      <c r="H47" s="17">
        <f>MIN(H45,H31*0.05)</f>
        <v/>
      </c>
      <c r="I47" s="17">
        <f>MIN(I45,I31*0.05)</f>
        <v/>
      </c>
      <c r="J47" s="17">
        <f>MIN(J45,J31*0.05)</f>
        <v/>
      </c>
      <c r="K47" s="17">
        <f>MIN(K45,K31*0.05)</f>
        <v/>
      </c>
      <c r="L47" s="17">
        <f>MIN(L45,L31*0.05)</f>
        <v/>
      </c>
      <c r="M47" s="17">
        <f>MIN(M45,M31*0.05)</f>
        <v/>
      </c>
    </row>
    <row r="48">
      <c r="A48" s="7" t="inlineStr">
        <is>
          <t>Otras Deducciones Generales</t>
        </is>
      </c>
      <c r="B48" s="18" t="n">
        <v>0</v>
      </c>
      <c r="C48" s="18" t="n">
        <v>0</v>
      </c>
      <c r="D48" s="18" t="n">
        <v>0</v>
      </c>
      <c r="E48" s="18" t="n">
        <v>0</v>
      </c>
      <c r="F48" s="18" t="n">
        <v>0</v>
      </c>
      <c r="G48" s="18" t="n">
        <v>0</v>
      </c>
      <c r="H48" s="18" t="n">
        <v>0</v>
      </c>
      <c r="I48" s="18" t="n">
        <v>0</v>
      </c>
      <c r="J48" s="18" t="n">
        <v>0</v>
      </c>
      <c r="K48" s="18" t="n">
        <v>0</v>
      </c>
      <c r="L48" s="18" t="n">
        <v>0</v>
      </c>
      <c r="M48" s="18" t="n">
        <v>0</v>
      </c>
    </row>
    <row r="49">
      <c r="A49" t="inlineStr">
        <is>
          <t>Deducciones sobre SAC Proporcional</t>
        </is>
      </c>
      <c r="B49" s="17">
        <f>B28*0.17</f>
        <v/>
      </c>
      <c r="C49" s="17">
        <f>C28*0.17</f>
        <v/>
      </c>
      <c r="D49" s="17">
        <f>D28*0.17</f>
        <v/>
      </c>
      <c r="E49" s="17">
        <f>E28*0.17</f>
        <v/>
      </c>
      <c r="F49" s="17">
        <f>F28*0.17</f>
        <v/>
      </c>
      <c r="G49" s="17">
        <f>G28*0.17</f>
        <v/>
      </c>
      <c r="H49" s="17">
        <f>H28*0.17</f>
        <v/>
      </c>
      <c r="I49" s="17">
        <f>I28*0.17</f>
        <v/>
      </c>
      <c r="J49" s="17">
        <f>J28*0.17</f>
        <v/>
      </c>
      <c r="K49" s="17">
        <f>K28*0.17</f>
        <v/>
      </c>
      <c r="L49" s="17">
        <f>L28*0.17</f>
        <v/>
      </c>
      <c r="M49" s="17">
        <f>M28*0.17</f>
        <v/>
      </c>
    </row>
    <row r="50">
      <c r="A50" s="52" t="inlineStr">
        <is>
          <t>Primas Seguro de Seguros Mixtos</t>
        </is>
      </c>
      <c r="B50" s="53" t="n">
        <v>0</v>
      </c>
      <c r="C50" s="53" t="n">
        <v>0</v>
      </c>
      <c r="D50" s="53" t="n">
        <v>0</v>
      </c>
      <c r="E50" s="53" t="n">
        <v>0</v>
      </c>
      <c r="F50" s="53" t="n">
        <v>0</v>
      </c>
      <c r="G50" s="53" t="n">
        <v>0</v>
      </c>
      <c r="H50" s="53" t="n">
        <v>0</v>
      </c>
      <c r="I50" s="53" t="n">
        <v>0</v>
      </c>
      <c r="J50" s="53" t="n">
        <v>0</v>
      </c>
      <c r="K50" s="53" t="n">
        <v>0</v>
      </c>
      <c r="L50" s="53" t="n">
        <v>0</v>
      </c>
      <c r="M50" s="53" t="n">
        <v>0</v>
      </c>
    </row>
    <row r="51">
      <c r="A51" s="52" t="inlineStr">
        <is>
          <t>Pagos FCI con Fines de Retiro</t>
        </is>
      </c>
      <c r="B51" s="53" t="n">
        <v>0</v>
      </c>
      <c r="C51" s="53" t="n">
        <v>0</v>
      </c>
      <c r="D51" s="53" t="n">
        <v>0</v>
      </c>
      <c r="E51" s="53" t="n">
        <v>0</v>
      </c>
      <c r="F51" s="53" t="n">
        <v>0</v>
      </c>
      <c r="G51" s="53" t="n">
        <v>0</v>
      </c>
      <c r="H51" s="53" t="n">
        <v>0</v>
      </c>
      <c r="I51" s="53" t="n">
        <v>0</v>
      </c>
      <c r="J51" s="53" t="n">
        <v>0</v>
      </c>
      <c r="K51" s="53" t="n">
        <v>0</v>
      </c>
      <c r="L51" s="53" t="n">
        <v>0</v>
      </c>
      <c r="M51" s="53" t="n">
        <v>0</v>
      </c>
    </row>
    <row r="52">
      <c r="A52" s="52" t="inlineStr">
        <is>
          <t>Gastos de Sepelio</t>
        </is>
      </c>
      <c r="B52" s="53" t="n">
        <v>0</v>
      </c>
      <c r="C52" s="53" t="n">
        <v>0</v>
      </c>
      <c r="D52" s="53" t="n">
        <v>0</v>
      </c>
      <c r="E52" s="53" t="n">
        <v>0</v>
      </c>
      <c r="F52" s="53" t="n">
        <v>0</v>
      </c>
      <c r="G52" s="53" t="n">
        <v>0</v>
      </c>
      <c r="H52" s="53" t="n">
        <v>0</v>
      </c>
      <c r="I52" s="53" t="n">
        <v>0</v>
      </c>
      <c r="J52" s="53" t="n">
        <v>0</v>
      </c>
      <c r="K52" s="53" t="n">
        <v>0</v>
      </c>
      <c r="L52" s="53" t="n">
        <v>0</v>
      </c>
      <c r="M52" s="53" t="n">
        <v>0</v>
      </c>
    </row>
    <row r="53">
      <c r="A53" s="52" t="inlineStr">
        <is>
          <t>Amortización Automotor (Corredores/Viajantes)</t>
        </is>
      </c>
      <c r="B53" s="53" t="n">
        <v>0</v>
      </c>
      <c r="C53" s="53" t="n">
        <v>0</v>
      </c>
      <c r="D53" s="53" t="n">
        <v>0</v>
      </c>
      <c r="E53" s="53" t="n">
        <v>0</v>
      </c>
      <c r="F53" s="53" t="n">
        <v>0</v>
      </c>
      <c r="G53" s="53" t="n">
        <v>0</v>
      </c>
      <c r="H53" s="53" t="n">
        <v>0</v>
      </c>
      <c r="I53" s="53" t="n">
        <v>0</v>
      </c>
      <c r="J53" s="53" t="n">
        <v>0</v>
      </c>
      <c r="K53" s="53" t="n">
        <v>0</v>
      </c>
      <c r="L53" s="53" t="n">
        <v>0</v>
      </c>
      <c r="M53" s="53" t="n">
        <v>0</v>
      </c>
    </row>
    <row r="54">
      <c r="A54" s="52" t="inlineStr">
        <is>
          <t>Gastos Médicos</t>
        </is>
      </c>
      <c r="B54" s="53" t="n">
        <v>0</v>
      </c>
      <c r="C54" s="53" t="n">
        <v>0</v>
      </c>
      <c r="D54" s="53" t="n">
        <v>0</v>
      </c>
      <c r="E54" s="53" t="n">
        <v>0</v>
      </c>
      <c r="F54" s="53" t="n">
        <v>0</v>
      </c>
      <c r="G54" s="53" t="n">
        <v>0</v>
      </c>
      <c r="H54" s="53" t="n">
        <v>0</v>
      </c>
      <c r="I54" s="53" t="n">
        <v>0</v>
      </c>
      <c r="J54" s="53" t="n">
        <v>0</v>
      </c>
      <c r="K54" s="53" t="n">
        <v>0</v>
      </c>
      <c r="L54" s="53" t="n">
        <v>0</v>
      </c>
      <c r="M54" s="53" t="n">
        <v>0</v>
      </c>
    </row>
    <row r="55">
      <c r="A55" s="52" t="inlineStr">
        <is>
          <t>Aportes SGR</t>
        </is>
      </c>
      <c r="B55" s="53" t="n">
        <v>0</v>
      </c>
      <c r="C55" s="53" t="n">
        <v>0</v>
      </c>
      <c r="D55" s="53" t="n">
        <v>0</v>
      </c>
      <c r="E55" s="53" t="n">
        <v>0</v>
      </c>
      <c r="F55" s="53" t="n">
        <v>0</v>
      </c>
      <c r="G55" s="53" t="n">
        <v>0</v>
      </c>
      <c r="H55" s="53" t="n">
        <v>0</v>
      </c>
      <c r="I55" s="53" t="n">
        <v>0</v>
      </c>
      <c r="J55" s="53" t="n">
        <v>0</v>
      </c>
      <c r="K55" s="53" t="n">
        <v>0</v>
      </c>
      <c r="L55" s="53" t="n">
        <v>0</v>
      </c>
      <c r="M55" s="53" t="n">
        <v>0</v>
      </c>
    </row>
    <row r="56">
      <c r="A56" s="52" t="inlineStr">
        <is>
          <t>Aportes Planes Seguro Retiro Privados</t>
        </is>
      </c>
      <c r="B56" s="53" t="n">
        <v>0</v>
      </c>
      <c r="C56" s="53" t="n">
        <v>0</v>
      </c>
      <c r="D56" s="53" t="n">
        <v>0</v>
      </c>
      <c r="E56" s="53" t="n">
        <v>0</v>
      </c>
      <c r="F56" s="53" t="n">
        <v>0</v>
      </c>
      <c r="G56" s="53" t="n">
        <v>0</v>
      </c>
      <c r="H56" s="53" t="n">
        <v>0</v>
      </c>
      <c r="I56" s="53" t="n">
        <v>0</v>
      </c>
      <c r="J56" s="53" t="n">
        <v>0</v>
      </c>
      <c r="K56" s="53" t="n">
        <v>0</v>
      </c>
      <c r="L56" s="53" t="n">
        <v>0</v>
      </c>
      <c r="M56" s="53" t="n">
        <v>0</v>
      </c>
    </row>
    <row r="57">
      <c r="A57" s="52" t="inlineStr">
        <is>
          <t>Gastos Equipamiento Obligatorio Trabajo</t>
        </is>
      </c>
      <c r="B57" s="53" t="n">
        <v>0</v>
      </c>
      <c r="C57" s="53" t="n">
        <v>0</v>
      </c>
      <c r="D57" s="53" t="n">
        <v>0</v>
      </c>
      <c r="E57" s="53" t="n">
        <v>0</v>
      </c>
      <c r="F57" s="53" t="n">
        <v>0</v>
      </c>
      <c r="G57" s="53" t="n">
        <v>0</v>
      </c>
      <c r="H57" s="53" t="n">
        <v>0</v>
      </c>
      <c r="I57" s="53" t="n">
        <v>0</v>
      </c>
      <c r="J57" s="53" t="n">
        <v>0</v>
      </c>
      <c r="K57" s="53" t="n">
        <v>0</v>
      </c>
      <c r="L57" s="53" t="n">
        <v>0</v>
      </c>
      <c r="M57" s="53" t="n">
        <v>0</v>
      </c>
    </row>
    <row r="58">
      <c r="A58" s="52" t="inlineStr">
        <is>
          <t>Adicionales Personal Antártida</t>
        </is>
      </c>
      <c r="B58" s="53" t="n">
        <v>0</v>
      </c>
      <c r="C58" s="53" t="n">
        <v>0</v>
      </c>
      <c r="D58" s="53" t="n">
        <v>0</v>
      </c>
      <c r="E58" s="53" t="n">
        <v>0</v>
      </c>
      <c r="F58" s="53" t="n">
        <v>0</v>
      </c>
      <c r="G58" s="53" t="n">
        <v>0</v>
      </c>
      <c r="H58" s="53" t="n">
        <v>0</v>
      </c>
      <c r="I58" s="53" t="n">
        <v>0</v>
      </c>
      <c r="J58" s="53" t="n">
        <v>0</v>
      </c>
      <c r="K58" s="53" t="n">
        <v>0</v>
      </c>
      <c r="L58" s="53" t="n">
        <v>0</v>
      </c>
      <c r="M58" s="53" t="n">
        <v>0</v>
      </c>
    </row>
    <row r="59">
      <c r="A59" s="8" t="inlineStr">
        <is>
          <t>Total Deducciones Generales</t>
        </is>
      </c>
      <c r="B59" s="17">
        <f>SUM(B35:B58)</f>
        <v/>
      </c>
      <c r="C59" s="17">
        <f>SUM(C35:C58)</f>
        <v/>
      </c>
      <c r="D59" s="17">
        <f>SUM(D35:D58)</f>
        <v/>
      </c>
      <c r="E59" s="17">
        <f>SUM(E35:E58)</f>
        <v/>
      </c>
      <c r="F59" s="17">
        <f>SUM(F35:F58)</f>
        <v/>
      </c>
      <c r="G59" s="17">
        <f>SUM(G35:G58)</f>
        <v/>
      </c>
      <c r="H59" s="17">
        <f>SUM(H35:H58)</f>
        <v/>
      </c>
      <c r="I59" s="17">
        <f>SUM(I35:I58)</f>
        <v/>
      </c>
      <c r="J59" s="17">
        <f>SUM(J35:J58)</f>
        <v/>
      </c>
      <c r="K59" s="17">
        <f>SUM(K35:K58)</f>
        <v/>
      </c>
      <c r="L59" s="17">
        <f>SUM(L35:L58)</f>
        <v/>
      </c>
      <c r="M59" s="17">
        <f>SUM(M35:M58)</f>
        <v/>
      </c>
    </row>
    <row r="60">
      <c r="A60" s="8" t="inlineStr">
        <is>
          <t>Deducciones Generales Acumuladas</t>
        </is>
      </c>
      <c r="B60" s="17">
        <f>B49</f>
        <v/>
      </c>
      <c r="C60" s="17">
        <f>B50+C49</f>
        <v/>
      </c>
      <c r="D60" s="17">
        <f>C50+D49</f>
        <v/>
      </c>
      <c r="E60" s="17">
        <f>D50+E49</f>
        <v/>
      </c>
      <c r="F60" s="17">
        <f>E50+F49</f>
        <v/>
      </c>
      <c r="G60" s="17">
        <f>F50+G49</f>
        <v/>
      </c>
      <c r="H60" s="17">
        <f>G50+H49</f>
        <v/>
      </c>
      <c r="I60" s="17">
        <f>H50+I49</f>
        <v/>
      </c>
      <c r="J60" s="17">
        <f>I50+J49</f>
        <v/>
      </c>
      <c r="K60" s="17">
        <f>J50+K49</f>
        <v/>
      </c>
      <c r="L60" s="17">
        <f>K50+L49</f>
        <v/>
      </c>
      <c r="M60" s="17">
        <f>L50+M49</f>
        <v/>
      </c>
    </row>
    <row r="61">
      <c r="A61" s="6" t="inlineStr">
        <is>
          <t>6. DEDUCCIONES PERSONALES</t>
        </is>
      </c>
    </row>
    <row r="62">
      <c r="A62" t="inlineStr">
        <is>
          <t>Ganancia No Imponible (MNI)</t>
        </is>
      </c>
      <c r="B62" s="17">
        <f>Parametros!$B$3</f>
        <v/>
      </c>
      <c r="C62" s="17">
        <f>Parametros!$B$3</f>
        <v/>
      </c>
      <c r="D62" s="17">
        <f>Parametros!$B$3</f>
        <v/>
      </c>
      <c r="E62" s="17">
        <f>Parametros!$B$3</f>
        <v/>
      </c>
      <c r="F62" s="17">
        <f>Parametros!$B$3</f>
        <v/>
      </c>
      <c r="G62" s="17">
        <f>Parametros!$B$3</f>
        <v/>
      </c>
      <c r="H62" s="17">
        <f>Parametros!$E$3</f>
        <v/>
      </c>
      <c r="I62" s="17">
        <f>Parametros!$E$3</f>
        <v/>
      </c>
      <c r="J62" s="17">
        <f>Parametros!$E$3</f>
        <v/>
      </c>
      <c r="K62" s="17">
        <f>Parametros!$E$3</f>
        <v/>
      </c>
      <c r="L62" s="17">
        <f>Parametros!$E$3</f>
        <v/>
      </c>
      <c r="M62" s="17">
        <f>Parametros!$E$3</f>
        <v/>
      </c>
    </row>
    <row r="63">
      <c r="A63" t="inlineStr">
        <is>
          <t>Deducción por Cónyuge</t>
        </is>
      </c>
      <c r="B63" s="17">
        <f>IF(Configuración!$B$3="SI",Parametros!$B$4,0)</f>
        <v/>
      </c>
      <c r="C63" s="17">
        <f>IF(Configuración!$B$3="SI",Parametros!$B$4,0)</f>
        <v/>
      </c>
      <c r="D63" s="17">
        <f>IF(Configuración!$B$3="SI",Parametros!$B$4,0)</f>
        <v/>
      </c>
      <c r="E63" s="17">
        <f>IF(Configuración!$B$3="SI",Parametros!$B$4,0)</f>
        <v/>
      </c>
      <c r="F63" s="17">
        <f>IF(Configuración!$B$3="SI",Parametros!$B$4,0)</f>
        <v/>
      </c>
      <c r="G63" s="17">
        <f>IF(Configuración!$B$3="SI",Parametros!$B$4,0)</f>
        <v/>
      </c>
      <c r="H63" s="17">
        <f>IF(Configuración!$B$3="SI",Parametros!$E$4,0)</f>
        <v/>
      </c>
      <c r="I63" s="17">
        <f>IF(Configuración!$B$3="SI",Parametros!$E$4,0)</f>
        <v/>
      </c>
      <c r="J63" s="17">
        <f>IF(Configuración!$B$3="SI",Parametros!$E$4,0)</f>
        <v/>
      </c>
      <c r="K63" s="17">
        <f>IF(Configuración!$B$3="SI",Parametros!$E$4,0)</f>
        <v/>
      </c>
      <c r="L63" s="17">
        <f>IF(Configuración!$B$3="SI",Parametros!$E$4,0)</f>
        <v/>
      </c>
      <c r="M63" s="17">
        <f>IF(Configuración!$B$3="SI",Parametros!$E$4,0)</f>
        <v/>
      </c>
    </row>
    <row r="64">
      <c r="A64" t="inlineStr">
        <is>
          <t>Deducción por Hijos</t>
        </is>
      </c>
      <c r="B64" s="17">
        <f>Configuración!$B$4*Parametros!$B$5</f>
        <v/>
      </c>
      <c r="C64" s="17">
        <f>Configuración!$B$4*Parametros!$B$5</f>
        <v/>
      </c>
      <c r="D64" s="17">
        <f>Configuración!$B$4*Parametros!$B$5</f>
        <v/>
      </c>
      <c r="E64" s="17">
        <f>Configuración!$B$4*Parametros!$B$5</f>
        <v/>
      </c>
      <c r="F64" s="17">
        <f>Configuración!$B$4*Parametros!$B$5</f>
        <v/>
      </c>
      <c r="G64" s="17">
        <f>Configuración!$B$4*Parametros!$B$5</f>
        <v/>
      </c>
      <c r="H64" s="17">
        <f>Configuración!$B$4*Parametros!$E$5</f>
        <v/>
      </c>
      <c r="I64" s="17">
        <f>Configuración!$B$4*Parametros!$E$5</f>
        <v/>
      </c>
      <c r="J64" s="17">
        <f>Configuración!$B$4*Parametros!$E$5</f>
        <v/>
      </c>
      <c r="K64" s="17">
        <f>Configuración!$B$4*Parametros!$E$5</f>
        <v/>
      </c>
      <c r="L64" s="17">
        <f>Configuración!$B$4*Parametros!$E$5</f>
        <v/>
      </c>
      <c r="M64" s="17">
        <f>Configuración!$B$4*Parametros!$E$5</f>
        <v/>
      </c>
    </row>
    <row r="65">
      <c r="A65" t="inlineStr">
        <is>
          <t>Deducción por Hijos Incapacitados</t>
        </is>
      </c>
      <c r="B65" s="17">
        <f>Configuración!$B$5*Parametros!$B$6</f>
        <v/>
      </c>
      <c r="C65" s="17">
        <f>Configuración!$B$5*Parametros!$B$6</f>
        <v/>
      </c>
      <c r="D65" s="17">
        <f>Configuración!$B$5*Parametros!$B$6</f>
        <v/>
      </c>
      <c r="E65" s="17">
        <f>Configuración!$B$5*Parametros!$B$6</f>
        <v/>
      </c>
      <c r="F65" s="17">
        <f>Configuración!$B$5*Parametros!$B$6</f>
        <v/>
      </c>
      <c r="G65" s="17">
        <f>Configuración!$B$5*Parametros!$B$6</f>
        <v/>
      </c>
      <c r="H65" s="17">
        <f>Configuración!$B$5*Parametros!$E$6</f>
        <v/>
      </c>
      <c r="I65" s="17">
        <f>Configuración!$B$5*Parametros!$E$6</f>
        <v/>
      </c>
      <c r="J65" s="17">
        <f>Configuración!$B$5*Parametros!$E$6</f>
        <v/>
      </c>
      <c r="K65" s="17">
        <f>Configuración!$B$5*Parametros!$E$6</f>
        <v/>
      </c>
      <c r="L65" s="17">
        <f>Configuración!$B$5*Parametros!$E$6</f>
        <v/>
      </c>
      <c r="M65" s="17">
        <f>Configuración!$B$5*Parametros!$E$6</f>
        <v/>
      </c>
    </row>
    <row r="66">
      <c r="A66" t="inlineStr">
        <is>
          <t>Deducción Especial (según tipo)</t>
        </is>
      </c>
      <c r="B66" s="17">
        <f>IF(Configuración!$B$8="Profesionales",Parametros!$B$9,IF(Configuración!$B$8="Zona Desfavorable",Parametros!$B$10,Parametros!$B$8))</f>
        <v/>
      </c>
      <c r="C66" s="17">
        <f>IF(Configuración!$B$8="Profesionales",Parametros!$B$9,IF(Configuración!$B$8="Zona Desfavorable",Parametros!$B$10,Parametros!$B$8))</f>
        <v/>
      </c>
      <c r="D66" s="17">
        <f>IF(Configuración!$B$8="Profesionales",Parametros!$B$9,IF(Configuración!$B$8="Zona Desfavorable",Parametros!$B$10,Parametros!$B$8))</f>
        <v/>
      </c>
      <c r="E66" s="17">
        <f>IF(Configuración!$B$8="Profesionales",Parametros!$B$9,IF(Configuración!$B$8="Zona Desfavorable",Parametros!$B$10,Parametros!$B$8))</f>
        <v/>
      </c>
      <c r="F66" s="17">
        <f>IF(Configuración!$B$8="Profesionales",Parametros!$B$9,IF(Configuración!$B$8="Zona Desfavorable",Parametros!$B$10,Parametros!$B$8))</f>
        <v/>
      </c>
      <c r="G66" s="17">
        <f>IF(Configuración!$B$8="Profesionales",Parametros!$B$9,IF(Configuración!$B$8="Zona Desfavorable",Parametros!$B$10,Parametros!$B$8))</f>
        <v/>
      </c>
      <c r="H66" s="17">
        <f>IF(Configuración!$B$8="Profesionales",Parametros!$E$9,IF(Configuración!$B$8="Zona Desfavorable",Parametros!$E$10,Parametros!$E$8))</f>
        <v/>
      </c>
      <c r="I66" s="17">
        <f>IF(Configuración!$B$8="Profesionales",Parametros!$E$9,IF(Configuración!$B$8="Zona Desfavorable",Parametros!$E$10,Parametros!$E$8))</f>
        <v/>
      </c>
      <c r="J66" s="17">
        <f>IF(Configuración!$B$8="Profesionales",Parametros!$E$9,IF(Configuración!$B$8="Zona Desfavorable",Parametros!$E$10,Parametros!$E$8))</f>
        <v/>
      </c>
      <c r="K66" s="17">
        <f>IF(Configuración!$B$8="Profesionales",Parametros!$E$9,IF(Configuración!$B$8="Zona Desfavorable",Parametros!$E$10,Parametros!$E$8))</f>
        <v/>
      </c>
      <c r="L66" s="17">
        <f>IF(Configuración!$B$8="Profesionales",Parametros!$E$9,IF(Configuración!$B$8="Zona Desfavorable",Parametros!$E$10,Parametros!$E$8))</f>
        <v/>
      </c>
      <c r="M66" s="17">
        <f>IF(Configuración!$B$8="Profesionales",Parametros!$E$9,IF(Configuración!$B$8="Zona Desfavorable",Parametros!$E$10,Parametros!$E$8))</f>
        <v/>
      </c>
    </row>
    <row r="67">
      <c r="A67" t="inlineStr">
        <is>
          <t>Deducción Especial Incrementada 22% (Ley 27.743)</t>
        </is>
      </c>
      <c r="B67" s="17">
        <f>B56*0.22</f>
        <v/>
      </c>
      <c r="C67" s="17">
        <f>C56*0.22</f>
        <v/>
      </c>
      <c r="D67" s="17">
        <f>D56*0.22</f>
        <v/>
      </c>
      <c r="E67" s="17">
        <f>E56*0.22</f>
        <v/>
      </c>
      <c r="F67" s="17">
        <f>F56*0.22</f>
        <v/>
      </c>
      <c r="G67" s="17">
        <f>G56*0.22</f>
        <v/>
      </c>
      <c r="H67" s="17">
        <f>H56*0.22</f>
        <v/>
      </c>
      <c r="I67" s="17">
        <f>I56*0.22</f>
        <v/>
      </c>
      <c r="J67" s="17">
        <f>J56*0.22</f>
        <v/>
      </c>
      <c r="K67" s="17">
        <f>K56*0.22</f>
        <v/>
      </c>
      <c r="L67" s="17">
        <f>L56*0.22</f>
        <v/>
      </c>
      <c r="M67" s="17">
        <f>M56*0.22</f>
        <v/>
      </c>
    </row>
    <row r="68">
      <c r="A68" s="8" t="inlineStr">
        <is>
          <t>Total Deducciones Personales</t>
        </is>
      </c>
      <c r="B68" s="17">
        <f>B52+B53+B54+B55+B56+B57</f>
        <v/>
      </c>
      <c r="C68" s="17">
        <f>C52+C53+C54+C55+C56+C57</f>
        <v/>
      </c>
      <c r="D68" s="17">
        <f>D52+D53+D54+D55+D56+D57</f>
        <v/>
      </c>
      <c r="E68" s="17">
        <f>E52+E53+E54+E55+E56+E57</f>
        <v/>
      </c>
      <c r="F68" s="17">
        <f>F52+F53+F54+F55+F56+F57</f>
        <v/>
      </c>
      <c r="G68" s="17">
        <f>G52+G53+G54+G55+G56+G57</f>
        <v/>
      </c>
      <c r="H68" s="17">
        <f>H52+H53+H54+H55+H56+H57</f>
        <v/>
      </c>
      <c r="I68" s="17">
        <f>I52+I53+I54+I55+I56+I57</f>
        <v/>
      </c>
      <c r="J68" s="17">
        <f>J52+J53+J54+J55+J56+J57</f>
        <v/>
      </c>
      <c r="K68" s="17">
        <f>K52+K53+K54+K55+K56+K57</f>
        <v/>
      </c>
      <c r="L68" s="17">
        <f>L52+L53+L54+L55+L56+L57</f>
        <v/>
      </c>
      <c r="M68" s="17">
        <f>M52+M53+M54+M55+M56+M57</f>
        <v/>
      </c>
    </row>
    <row r="69">
      <c r="A69" s="6" t="inlineStr">
        <is>
          <t>7. GANANCIA NETA IMPONIBLE</t>
        </is>
      </c>
    </row>
    <row r="70">
      <c r="A70" t="inlineStr">
        <is>
          <t>Deducciones Totales Acumuladas</t>
        </is>
      </c>
      <c r="B70" s="17">
        <f>B50+B58</f>
        <v/>
      </c>
      <c r="C70" s="17">
        <f>C50+C58</f>
        <v/>
      </c>
      <c r="D70" s="17">
        <f>D50+D58</f>
        <v/>
      </c>
      <c r="E70" s="17">
        <f>E50+E58</f>
        <v/>
      </c>
      <c r="F70" s="17">
        <f>F50+F58</f>
        <v/>
      </c>
      <c r="G70" s="17">
        <f>G50+G58</f>
        <v/>
      </c>
      <c r="H70" s="17">
        <f>H50+H58</f>
        <v/>
      </c>
      <c r="I70" s="17">
        <f>I50+I58</f>
        <v/>
      </c>
      <c r="J70" s="17">
        <f>J50+J58</f>
        <v/>
      </c>
      <c r="K70" s="17">
        <f>K50+K58</f>
        <v/>
      </c>
      <c r="L70" s="17">
        <f>L50+L58</f>
        <v/>
      </c>
      <c r="M70" s="17">
        <f>M50+M58</f>
        <v/>
      </c>
    </row>
    <row r="71">
      <c r="A71" t="inlineStr">
        <is>
          <t>Ganancia Neta Imponible</t>
        </is>
      </c>
      <c r="B71" s="17">
        <f>MAX(B31-B60,0)</f>
        <v/>
      </c>
      <c r="C71" s="17">
        <f>MAX(C31-C60,0)</f>
        <v/>
      </c>
      <c r="D71" s="17">
        <f>MAX(D31-D60,0)</f>
        <v/>
      </c>
      <c r="E71" s="17">
        <f>MAX(E31-E60,0)</f>
        <v/>
      </c>
      <c r="F71" s="17">
        <f>MAX(F31-F60,0)</f>
        <v/>
      </c>
      <c r="G71" s="17">
        <f>MAX(G31-G60,0)</f>
        <v/>
      </c>
      <c r="H71" s="17">
        <f>MAX(H31-H60,0)</f>
        <v/>
      </c>
      <c r="I71" s="17">
        <f>MAX(I31-I60,0)</f>
        <v/>
      </c>
      <c r="J71" s="17">
        <f>MAX(J31-J60,0)</f>
        <v/>
      </c>
      <c r="K71" s="17">
        <f>MAX(K31-K60,0)</f>
        <v/>
      </c>
      <c r="L71" s="17">
        <f>MAX(L31-L60,0)</f>
        <v/>
      </c>
      <c r="M71" s="17">
        <f>MAX(M31-M60,0)</f>
        <v/>
      </c>
    </row>
    <row r="72">
      <c r="A72" s="6" t="inlineStr">
        <is>
          <t>8. IMPUESTO Y RETENCIÓN</t>
        </is>
      </c>
    </row>
    <row r="73">
      <c r="A73" t="inlineStr">
        <is>
          <t>Impuesto Determinado (escalas progresivas)</t>
        </is>
      </c>
      <c r="B73" s="17">
        <f>IF(B59&lt;=Parametros!$B$15,B59*Parametros!$D$15,IF(B59&lt;=Parametros!$B$16,Parametros!$C$16+(B59-Parametros!$E$16)*Parametros!$D$16,IF(B59&lt;=Parametros!$B$17,Parametros!$C$17+(B59-Parametros!$E$17)*Parametros!$D$17,IF(B59&lt;=Parametros!$B$18,Parametros!$C$18+(B59-Parametros!$E$18)*Parametros!$D$18,IF(B59&lt;=Parametros!$B$19,Parametros!$C$19+(B59-Parametros!$E$19)*Parametros!$D$19,IF(B59&lt;=Parametros!$B$20,Parametros!$C$20+(B59-Parametros!$E$20)*Parametros!$D$20,IF(B59&lt;=Parametros!$B$21,Parametros!$C$21+(B59-Parametros!$E$21)*Parametros!$D$21,IF(B59&lt;=Parametros!$B$22,Parametros!$C$22+(B59-Parametros!$E$22)*Parametros!$D$22,IF(B59&lt;=Parametros!$B$23,Parametros!$C$23+(B59-Parametros!$E$23)*Parametros!$D$23,Parametros!$C$24+(B59-Parametros!$E$24)*Parametros!$D$24)))))))))</f>
        <v/>
      </c>
      <c r="C73" s="17">
        <f>IF(C59&lt;=Parametros!$B$15,C59*Parametros!$D$15,IF(C59&lt;=Parametros!$B$16,Parametros!$C$16+(C59-Parametros!$E$16)*Parametros!$D$16,IF(C59&lt;=Parametros!$B$17,Parametros!$C$17+(C59-Parametros!$E$17)*Parametros!$D$17,IF(C59&lt;=Parametros!$B$18,Parametros!$C$18+(C59-Parametros!$E$18)*Parametros!$D$18,IF(C59&lt;=Parametros!$B$19,Parametros!$C$19+(C59-Parametros!$E$19)*Parametros!$D$19,IF(C59&lt;=Parametros!$B$20,Parametros!$C$20+(C59-Parametros!$E$20)*Parametros!$D$20,IF(C59&lt;=Parametros!$B$21,Parametros!$C$21+(C59-Parametros!$E$21)*Parametros!$D$21,IF(C59&lt;=Parametros!$B$22,Parametros!$C$22+(C59-Parametros!$E$22)*Parametros!$D$22,IF(C59&lt;=Parametros!$B$23,Parametros!$C$23+(C59-Parametros!$E$23)*Parametros!$D$23,Parametros!$C$24+(C59-Parametros!$E$24)*Parametros!$D$24)))))))))</f>
        <v/>
      </c>
      <c r="D73" s="17">
        <f>IF(D59&lt;=Parametros!$B$15,D59*Parametros!$D$15,IF(D59&lt;=Parametros!$B$16,Parametros!$C$16+(D59-Parametros!$E$16)*Parametros!$D$16,IF(D59&lt;=Parametros!$B$17,Parametros!$C$17+(D59-Parametros!$E$17)*Parametros!$D$17,IF(D59&lt;=Parametros!$B$18,Parametros!$C$18+(D59-Parametros!$E$18)*Parametros!$D$18,IF(D59&lt;=Parametros!$B$19,Parametros!$C$19+(D59-Parametros!$E$19)*Parametros!$D$19,IF(D59&lt;=Parametros!$B$20,Parametros!$C$20+(D59-Parametros!$E$20)*Parametros!$D$20,IF(D59&lt;=Parametros!$B$21,Parametros!$C$21+(D59-Parametros!$E$21)*Parametros!$D$21,IF(D59&lt;=Parametros!$B$22,Parametros!$C$22+(D59-Parametros!$E$22)*Parametros!$D$22,IF(D59&lt;=Parametros!$B$23,Parametros!$C$23+(D59-Parametros!$E$23)*Parametros!$D$23,Parametros!$C$24+(D59-Parametros!$E$24)*Parametros!$D$24)))))))))</f>
        <v/>
      </c>
      <c r="E73" s="17">
        <f>IF(E59&lt;=Parametros!$B$15,E59*Parametros!$D$15,IF(E59&lt;=Parametros!$B$16,Parametros!$C$16+(E59-Parametros!$E$16)*Parametros!$D$16,IF(E59&lt;=Parametros!$B$17,Parametros!$C$17+(E59-Parametros!$E$17)*Parametros!$D$17,IF(E59&lt;=Parametros!$B$18,Parametros!$C$18+(E59-Parametros!$E$18)*Parametros!$D$18,IF(E59&lt;=Parametros!$B$19,Parametros!$C$19+(E59-Parametros!$E$19)*Parametros!$D$19,IF(E59&lt;=Parametros!$B$20,Parametros!$C$20+(E59-Parametros!$E$20)*Parametros!$D$20,IF(E59&lt;=Parametros!$B$21,Parametros!$C$21+(E59-Parametros!$E$21)*Parametros!$D$21,IF(E59&lt;=Parametros!$B$22,Parametros!$C$22+(E59-Parametros!$E$22)*Parametros!$D$22,IF(E59&lt;=Parametros!$B$23,Parametros!$C$23+(E59-Parametros!$E$23)*Parametros!$D$23,Parametros!$C$24+(E59-Parametros!$E$24)*Parametros!$D$24)))))))))</f>
        <v/>
      </c>
      <c r="F73" s="17">
        <f>IF(F59&lt;=Parametros!$B$15,F59*Parametros!$D$15,IF(F59&lt;=Parametros!$B$16,Parametros!$C$16+(F59-Parametros!$E$16)*Parametros!$D$16,IF(F59&lt;=Parametros!$B$17,Parametros!$C$17+(F59-Parametros!$E$17)*Parametros!$D$17,IF(F59&lt;=Parametros!$B$18,Parametros!$C$18+(F59-Parametros!$E$18)*Parametros!$D$18,IF(F59&lt;=Parametros!$B$19,Parametros!$C$19+(F59-Parametros!$E$19)*Parametros!$D$19,IF(F59&lt;=Parametros!$B$20,Parametros!$C$20+(F59-Parametros!$E$20)*Parametros!$D$20,IF(F59&lt;=Parametros!$B$21,Parametros!$C$21+(F59-Parametros!$E$21)*Parametros!$D$21,IF(F59&lt;=Parametros!$B$22,Parametros!$C$22+(F59-Parametros!$E$22)*Parametros!$D$22,IF(F59&lt;=Parametros!$B$23,Parametros!$C$23+(F59-Parametros!$E$23)*Parametros!$D$23,Parametros!$C$24+(F59-Parametros!$E$24)*Parametros!$D$24)))))))))</f>
        <v/>
      </c>
      <c r="G73" s="17">
        <f>IF(G59&lt;=Parametros!$B$15,G59*Parametros!$D$15,IF(G59&lt;=Parametros!$B$16,Parametros!$C$16+(G59-Parametros!$E$16)*Parametros!$D$16,IF(G59&lt;=Parametros!$B$17,Parametros!$C$17+(G59-Parametros!$E$17)*Parametros!$D$17,IF(G59&lt;=Parametros!$B$18,Parametros!$C$18+(G59-Parametros!$E$18)*Parametros!$D$18,IF(G59&lt;=Parametros!$B$19,Parametros!$C$19+(G59-Parametros!$E$19)*Parametros!$D$19,IF(G59&lt;=Parametros!$B$20,Parametros!$C$20+(G59-Parametros!$E$20)*Parametros!$D$20,IF(G59&lt;=Parametros!$B$21,Parametros!$C$21+(G59-Parametros!$E$21)*Parametros!$D$21,IF(G59&lt;=Parametros!$B$22,Parametros!$C$22+(G59-Parametros!$E$22)*Parametros!$D$22,IF(G59&lt;=Parametros!$B$23,Parametros!$C$23+(G59-Parametros!$E$23)*Parametros!$D$23,Parametros!$C$24+(G59-Parametros!$E$24)*Parametros!$D$24)))))))))</f>
        <v/>
      </c>
      <c r="H73" s="17">
        <f>IF(H59&lt;=Parametros!$B$28,H59*Parametros!$D$28,IF(H59&lt;=Parametros!$B$29,Parametros!$C$29+(H59-Parametros!$E$29)*Parametros!$D$29,IF(H59&lt;=Parametros!$B$30,Parametros!$C$30+(H59-Parametros!$E$30)*Parametros!$D$30,IF(H59&lt;=Parametros!$B$31,Parametros!$C$31+(H59-Parametros!$E$31)*Parametros!$D$31,IF(H59&lt;=Parametros!$B$32,Parametros!$C$32+(H59-Parametros!$E$32)*Parametros!$D$32,IF(H59&lt;=Parametros!$B$33,Parametros!$C$33+(H59-Parametros!$E$33)*Parametros!$D$33,IF(H59&lt;=Parametros!$B$34,Parametros!$C$34+(H59-Parametros!$E$34)*Parametros!$D$34,IF(H59&lt;=Parametros!$B$35,Parametros!$C$35+(H59-Parametros!$E$35)*Parametros!$D$35,IF(H59&lt;=Parametros!$B$36,Parametros!$C$36+(H59-Parametros!$E$36)*Parametros!$D$36,Parametros!$C$37+(H59-Parametros!$E$37)*Parametros!$D$37)))))))))</f>
        <v/>
      </c>
      <c r="I73" s="17">
        <f>IF(I59&lt;=Parametros!$B$28,I59*Parametros!$D$28,IF(I59&lt;=Parametros!$B$29,Parametros!$C$29+(I59-Parametros!$E$29)*Parametros!$D$29,IF(I59&lt;=Parametros!$B$30,Parametros!$C$30+(I59-Parametros!$E$30)*Parametros!$D$30,IF(I59&lt;=Parametros!$B$31,Parametros!$C$31+(I59-Parametros!$E$31)*Parametros!$D$31,IF(I59&lt;=Parametros!$B$32,Parametros!$C$32+(I59-Parametros!$E$32)*Parametros!$D$32,IF(I59&lt;=Parametros!$B$33,Parametros!$C$33+(I59-Parametros!$E$33)*Parametros!$D$33,IF(I59&lt;=Parametros!$B$34,Parametros!$C$34+(I59-Parametros!$E$34)*Parametros!$D$34,IF(I59&lt;=Parametros!$B$35,Parametros!$C$35+(I59-Parametros!$E$35)*Parametros!$D$35,IF(I59&lt;=Parametros!$B$36,Parametros!$C$36+(I59-Parametros!$E$36)*Parametros!$D$36,Parametros!$C$37+(I59-Parametros!$E$37)*Parametros!$D$37)))))))))</f>
        <v/>
      </c>
      <c r="J73" s="17">
        <f>IF(J59&lt;=Parametros!$B$28,J59*Parametros!$D$28,IF(J59&lt;=Parametros!$B$29,Parametros!$C$29+(J59-Parametros!$E$29)*Parametros!$D$29,IF(J59&lt;=Parametros!$B$30,Parametros!$C$30+(J59-Parametros!$E$30)*Parametros!$D$30,IF(J59&lt;=Parametros!$B$31,Parametros!$C$31+(J59-Parametros!$E$31)*Parametros!$D$31,IF(J59&lt;=Parametros!$B$32,Parametros!$C$32+(J59-Parametros!$E$32)*Parametros!$D$32,IF(J59&lt;=Parametros!$B$33,Parametros!$C$33+(J59-Parametros!$E$33)*Parametros!$D$33,IF(J59&lt;=Parametros!$B$34,Parametros!$C$34+(J59-Parametros!$E$34)*Parametros!$D$34,IF(J59&lt;=Parametros!$B$35,Parametros!$C$35+(J59-Parametros!$E$35)*Parametros!$D$35,IF(J59&lt;=Parametros!$B$36,Parametros!$C$36+(J59-Parametros!$E$36)*Parametros!$D$36,Parametros!$C$37+(J59-Parametros!$E$37)*Parametros!$D$37)))))))))</f>
        <v/>
      </c>
      <c r="K73" s="17">
        <f>IF(K59&lt;=Parametros!$B$28,K59*Parametros!$D$28,IF(K59&lt;=Parametros!$B$29,Parametros!$C$29+(K59-Parametros!$E$29)*Parametros!$D$29,IF(K59&lt;=Parametros!$B$30,Parametros!$C$30+(K59-Parametros!$E$30)*Parametros!$D$30,IF(K59&lt;=Parametros!$B$31,Parametros!$C$31+(K59-Parametros!$E$31)*Parametros!$D$31,IF(K59&lt;=Parametros!$B$32,Parametros!$C$32+(K59-Parametros!$E$32)*Parametros!$D$32,IF(K59&lt;=Parametros!$B$33,Parametros!$C$33+(K59-Parametros!$E$33)*Parametros!$D$33,IF(K59&lt;=Parametros!$B$34,Parametros!$C$34+(K59-Parametros!$E$34)*Parametros!$D$34,IF(K59&lt;=Parametros!$B$35,Parametros!$C$35+(K59-Parametros!$E$35)*Parametros!$D$35,IF(K59&lt;=Parametros!$B$36,Parametros!$C$36+(K59-Parametros!$E$36)*Parametros!$D$36,Parametros!$C$37+(K59-Parametros!$E$37)*Parametros!$D$37)))))))))</f>
        <v/>
      </c>
      <c r="L73" s="17">
        <f>IF(L59&lt;=Parametros!$B$28,L59*Parametros!$D$28,IF(L59&lt;=Parametros!$B$29,Parametros!$C$29+(L59-Parametros!$E$29)*Parametros!$D$29,IF(L59&lt;=Parametros!$B$30,Parametros!$C$30+(L59-Parametros!$E$30)*Parametros!$D$30,IF(L59&lt;=Parametros!$B$31,Parametros!$C$31+(L59-Parametros!$E$31)*Parametros!$D$31,IF(L59&lt;=Parametros!$B$32,Parametros!$C$32+(L59-Parametros!$E$32)*Parametros!$D$32,IF(L59&lt;=Parametros!$B$33,Parametros!$C$33+(L59-Parametros!$E$33)*Parametros!$D$33,IF(L59&lt;=Parametros!$B$34,Parametros!$C$34+(L59-Parametros!$E$34)*Parametros!$D$34,IF(L59&lt;=Parametros!$B$35,Parametros!$C$35+(L59-Parametros!$E$35)*Parametros!$D$35,IF(L59&lt;=Parametros!$B$36,Parametros!$C$36+(L59-Parametros!$E$36)*Parametros!$D$36,Parametros!$C$37+(L59-Parametros!$E$37)*Parametros!$D$37)))))))))</f>
        <v/>
      </c>
      <c r="M73" s="17">
        <f>IF(M59&lt;=Parametros!$B$28,M59*Parametros!$D$28,IF(M59&lt;=Parametros!$B$29,Parametros!$C$29+(M59-Parametros!$E$29)*Parametros!$D$29,IF(M59&lt;=Parametros!$B$30,Parametros!$C$30+(M59-Parametros!$E$30)*Parametros!$D$30,IF(M59&lt;=Parametros!$B$31,Parametros!$C$31+(M59-Parametros!$E$31)*Parametros!$D$31,IF(M59&lt;=Parametros!$B$32,Parametros!$C$32+(M59-Parametros!$E$32)*Parametros!$D$32,IF(M59&lt;=Parametros!$B$33,Parametros!$C$33+(M59-Parametros!$E$33)*Parametros!$D$33,IF(M59&lt;=Parametros!$B$34,Parametros!$C$34+(M59-Parametros!$E$34)*Parametros!$D$34,IF(M59&lt;=Parametros!$B$35,Parametros!$C$35+(M59-Parametros!$E$35)*Parametros!$D$35,IF(M59&lt;=Parametros!$B$36,Parametros!$C$36+(M59-Parametros!$E$36)*Parametros!$D$36,Parametros!$C$37+(M59-Parametros!$E$37)*Parametros!$D$37)))))))))</f>
        <v/>
      </c>
    </row>
    <row r="74">
      <c r="A74" t="inlineStr">
        <is>
          <t>Impuesto Retenido Meses Anteriores</t>
        </is>
      </c>
      <c r="B74" s="17" t="n">
        <v>0</v>
      </c>
      <c r="C74" s="17">
        <f>B64+B67</f>
        <v/>
      </c>
      <c r="D74" s="17">
        <f>C64+C67</f>
        <v/>
      </c>
      <c r="E74" s="17">
        <f>D64+D67</f>
        <v/>
      </c>
      <c r="F74" s="17">
        <f>E64+E67</f>
        <v/>
      </c>
      <c r="G74" s="17">
        <f>F64+F67</f>
        <v/>
      </c>
      <c r="H74" s="17">
        <f>G64+G67</f>
        <v/>
      </c>
      <c r="I74" s="17">
        <f>H64+H67</f>
        <v/>
      </c>
      <c r="J74" s="17">
        <f>I64+I67</f>
        <v/>
      </c>
      <c r="K74" s="17">
        <f>J64+J67</f>
        <v/>
      </c>
      <c r="L74" s="17">
        <f>K64+K67</f>
        <v/>
      </c>
      <c r="M74" s="17">
        <f>L64+L67</f>
        <v/>
      </c>
    </row>
    <row r="75">
      <c r="A75" s="11" t="inlineStr">
        <is>
          <t>Pagos a Cuenta (Apartado G)</t>
        </is>
      </c>
      <c r="B75" s="18" t="n">
        <v>0</v>
      </c>
      <c r="C75" s="18" t="n">
        <v>0</v>
      </c>
      <c r="D75" s="18" t="n">
        <v>0</v>
      </c>
      <c r="E75" s="18" t="n">
        <v>0</v>
      </c>
      <c r="F75" s="18" t="n">
        <v>0</v>
      </c>
      <c r="G75" s="18" t="n">
        <v>0</v>
      </c>
      <c r="H75" s="18" t="n">
        <v>0</v>
      </c>
      <c r="I75" s="18" t="n">
        <v>0</v>
      </c>
      <c r="J75" s="18" t="n">
        <v>0</v>
      </c>
      <c r="K75" s="18" t="n">
        <v>0</v>
      </c>
      <c r="L75" s="18" t="n">
        <v>0</v>
      </c>
      <c r="M75" s="18" t="n">
        <v>0</v>
      </c>
    </row>
    <row r="76">
      <c r="A76" s="11" t="inlineStr">
        <is>
          <t>Retenciones Reintegradas (Apartado H)</t>
        </is>
      </c>
      <c r="B76" s="18" t="n">
        <v>0</v>
      </c>
      <c r="C76" s="18" t="n">
        <v>0</v>
      </c>
      <c r="D76" s="18" t="n">
        <v>0</v>
      </c>
      <c r="E76" s="18" t="n">
        <v>0</v>
      </c>
      <c r="F76" s="18" t="n">
        <v>0</v>
      </c>
      <c r="G76" s="18" t="n">
        <v>0</v>
      </c>
      <c r="H76" s="18" t="n">
        <v>0</v>
      </c>
      <c r="I76" s="18" t="n">
        <v>0</v>
      </c>
      <c r="J76" s="18" t="n">
        <v>0</v>
      </c>
      <c r="K76" s="18" t="n">
        <v>0</v>
      </c>
      <c r="L76" s="18" t="n">
        <v>0</v>
      </c>
      <c r="M76" s="18" t="n">
        <v>0</v>
      </c>
    </row>
    <row r="77">
      <c r="A77" t="inlineStr">
        <is>
          <t>Retención del Mes (antes de tope)</t>
        </is>
      </c>
      <c r="B77" s="17">
        <f>MAX(B63-B65-B64+B66,0)</f>
        <v/>
      </c>
      <c r="C77" s="17">
        <f>MAX(C63-C65-C64+C66,0)</f>
        <v/>
      </c>
      <c r="D77" s="17">
        <f>MAX(D63-D65-D64+D66,0)</f>
        <v/>
      </c>
      <c r="E77" s="17">
        <f>MAX(E63-E65-E64+E66,0)</f>
        <v/>
      </c>
      <c r="F77" s="17">
        <f>MAX(F63-F65-F64+F66,0)</f>
        <v/>
      </c>
      <c r="G77" s="17">
        <f>MAX(G63-G65-G64+G66,0)</f>
        <v/>
      </c>
      <c r="H77" s="17">
        <f>MAX(H63-H65-H64+H66,0)</f>
        <v/>
      </c>
      <c r="I77" s="17">
        <f>MAX(I63-I65-I64+I66,0)</f>
        <v/>
      </c>
      <c r="J77" s="17">
        <f>MAX(J63-J65-J64+J66,0)</f>
        <v/>
      </c>
      <c r="K77" s="17">
        <f>MAX(K63-K65-K64+K66,0)</f>
        <v/>
      </c>
      <c r="L77" s="17">
        <f>MAX(L63-L65-L64+L66,0)</f>
        <v/>
      </c>
      <c r="M77" s="17">
        <f>MAX(M63-M65-M64+M66,0)</f>
        <v/>
      </c>
    </row>
    <row r="78">
      <c r="A78" t="inlineStr">
        <is>
          <t>Tope 35% (Ganancia Bruta × 0.35)</t>
        </is>
      </c>
      <c r="B78" s="17">
        <f>B30*0.35</f>
        <v/>
      </c>
      <c r="C78" s="17">
        <f>C30*0.35</f>
        <v/>
      </c>
      <c r="D78" s="17">
        <f>D30*0.35</f>
        <v/>
      </c>
      <c r="E78" s="17">
        <f>E30*0.35</f>
        <v/>
      </c>
      <c r="F78" s="17">
        <f>F30*0.35</f>
        <v/>
      </c>
      <c r="G78" s="17">
        <f>G30*0.35</f>
        <v/>
      </c>
      <c r="H78" s="17">
        <f>H30*0.35</f>
        <v/>
      </c>
      <c r="I78" s="17">
        <f>I30*0.35</f>
        <v/>
      </c>
      <c r="J78" s="17">
        <f>J30*0.35</f>
        <v/>
      </c>
      <c r="K78" s="17">
        <f>K30*0.35</f>
        <v/>
      </c>
      <c r="L78" s="17">
        <f>L30*0.35</f>
        <v/>
      </c>
      <c r="M78" s="17">
        <f>M30*0.35</f>
        <v/>
      </c>
    </row>
    <row r="79">
      <c r="A79" t="inlineStr">
        <is>
          <t>Retención Efectiva</t>
        </is>
      </c>
      <c r="B79" s="17">
        <f>MIN(B65,B66)</f>
        <v/>
      </c>
      <c r="C79" s="17">
        <f>MIN(C65,C66)</f>
        <v/>
      </c>
      <c r="D79" s="17">
        <f>MIN(D65,D66)</f>
        <v/>
      </c>
      <c r="E79" s="17">
        <f>MIN(E65,E66)</f>
        <v/>
      </c>
      <c r="F79" s="17">
        <f>MIN(F65,F66)</f>
        <v/>
      </c>
      <c r="G79" s="17">
        <f>MIN(G65,G66)</f>
        <v/>
      </c>
      <c r="H79" s="17">
        <f>MIN(H65,H66)</f>
        <v/>
      </c>
      <c r="I79" s="17">
        <f>MIN(I65,I66)</f>
        <v/>
      </c>
      <c r="J79" s="17">
        <f>MIN(J65,J66)</f>
        <v/>
      </c>
      <c r="K79" s="17">
        <f>MIN(K65,K66)</f>
        <v/>
      </c>
      <c r="L79" s="17">
        <f>MIN(L65,L66)</f>
        <v/>
      </c>
      <c r="M79" s="17">
        <f>MIN(M65,M66)</f>
        <v/>
      </c>
    </row>
    <row r="80">
      <c r="A80" t="inlineStr">
        <is>
          <t>Diferencia no retenida (posterga)</t>
        </is>
      </c>
      <c r="B80" s="17">
        <f>B65-B67</f>
        <v/>
      </c>
      <c r="C80" s="17">
        <f>C65-C67</f>
        <v/>
      </c>
      <c r="D80" s="17">
        <f>D65-D67</f>
        <v/>
      </c>
      <c r="E80" s="17">
        <f>E65-E67</f>
        <v/>
      </c>
      <c r="F80" s="17">
        <f>F65-F67</f>
        <v/>
      </c>
      <c r="G80" s="17">
        <f>G65-G67</f>
        <v/>
      </c>
      <c r="H80" s="17">
        <f>H65-H67</f>
        <v/>
      </c>
      <c r="I80" s="17">
        <f>I65-I67</f>
        <v/>
      </c>
      <c r="J80" s="17">
        <f>J65-J67</f>
        <v/>
      </c>
      <c r="K80" s="17">
        <f>K65-K67</f>
        <v/>
      </c>
      <c r="L80" s="17">
        <f>L65-L67</f>
        <v/>
      </c>
      <c r="M80" s="17">
        <f>M65-M67</f>
        <v/>
      </c>
    </row>
    <row r="81">
      <c r="A81" s="6" t="inlineStr">
        <is>
          <t>9. SUELDO NETO</t>
        </is>
      </c>
    </row>
    <row r="82">
      <c r="A82" t="inlineStr">
        <is>
          <t>Sueldo Neto</t>
        </is>
      </c>
      <c r="B82" s="17">
        <f>B13+B18-B25-B67</f>
        <v/>
      </c>
      <c r="C82" s="17">
        <f>C13+C18-C25-C67</f>
        <v/>
      </c>
      <c r="D82" s="17">
        <f>D13+D18-D25-D67</f>
        <v/>
      </c>
      <c r="E82" s="17">
        <f>E13+E18-E25-E67</f>
        <v/>
      </c>
      <c r="F82" s="17">
        <f>F13+F18-F25-F67</f>
        <v/>
      </c>
      <c r="G82" s="17">
        <f>G13+G18-G25-G67</f>
        <v/>
      </c>
      <c r="H82" s="17">
        <f>H13+H18-H25-H67</f>
        <v/>
      </c>
      <c r="I82" s="17">
        <f>I13+I18-I25-I67</f>
        <v/>
      </c>
      <c r="J82" s="17">
        <f>J13+J18-J25-J67</f>
        <v/>
      </c>
      <c r="K82" s="17">
        <f>K13+K18-K25-K67</f>
        <v/>
      </c>
      <c r="L82" s="17">
        <f>L13+L18-L25-L67</f>
        <v/>
      </c>
      <c r="M82" s="17">
        <f>M13+M18-M25-M67</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51"/>
  <sheetViews>
    <sheetView topLeftCell="A131" workbookViewId="0">
      <selection activeCell="A175" sqref="A175"/>
    </sheetView>
  </sheetViews>
  <sheetFormatPr baseColWidth="10" defaultColWidth="8.7109375" defaultRowHeight="15"/>
  <cols>
    <col width="120" customWidth="1" min="1" max="1"/>
  </cols>
  <sheetData>
    <row r="1" ht="18" customHeight="1">
      <c r="A1" s="12" t="inlineStr">
        <is>
          <t>📊 CALCULADORA DE RETENCIONES DE GANANCIAS 2025 - GUÍA DE USO COMPLETA</t>
        </is>
      </c>
    </row>
    <row r="2">
      <c r="A2" s="13" t="n"/>
    </row>
    <row r="3" ht="15.75" customHeight="1">
      <c r="A3" s="14" t="inlineStr">
        <is>
          <t>🎯 INTRODUCCIÓN</t>
        </is>
      </c>
    </row>
    <row r="4" ht="25.5" customHeight="1">
      <c r="A4" s="13" t="inlineStr">
        <is>
          <t>Esta calculadora implementa el 100% del esquema de retenciones del Impuesto a las Ganancias 2025 según normativa ARCA (ex-AFIP), incluyendo:</t>
        </is>
      </c>
    </row>
    <row r="5">
      <c r="A5" s="13" t="inlineStr">
        <is>
          <t xml:space="preserve">  • Escalas progresivas actualizadas (Art. 94) para Enero-Junio 2025 y Julio-Diciembre 2025</t>
        </is>
      </c>
    </row>
    <row r="6">
      <c r="A6" s="13" t="inlineStr">
        <is>
          <t xml:space="preserve">  • Cálculo de SAC Proporcional mensual y Ajuste SAC Semestral (junio/diciembre)</t>
        </is>
      </c>
    </row>
    <row r="7">
      <c r="A7" s="13" t="inlineStr">
        <is>
          <t xml:space="preserve">  • Deducciones generales: Jubilación 11%, Obra Social 3%, INSSJP 3%, Aportes Sindicales</t>
        </is>
      </c>
    </row>
    <row r="8">
      <c r="A8" s="13" t="inlineStr">
        <is>
          <t xml:space="preserve">  • Deducciones especiales: Alquiler 40% + 10% (Ley 27.737), Medicina Prepaga 5%, Educación, Seguro de Vida, Donaciones, etc.</t>
        </is>
      </c>
    </row>
    <row r="9">
      <c r="A9" s="13" t="inlineStr">
        <is>
          <t xml:space="preserve">  • Deducciones personales: Ganancia No Imponible, Cónyuge, Hijos, Deducción Especial + Incremento 22% (Ley 27.743)</t>
        </is>
      </c>
    </row>
    <row r="10">
      <c r="A10" s="13" t="inlineStr">
        <is>
          <t xml:space="preserve">  • Pluriempleo (múltiples empleadores simultáneos)</t>
        </is>
      </c>
    </row>
    <row r="11">
      <c r="A11" s="13" t="inlineStr">
        <is>
          <t xml:space="preserve">  • Pagos a Cuenta (Apartado G)</t>
        </is>
      </c>
    </row>
    <row r="12">
      <c r="A12" s="13" t="inlineStr">
        <is>
          <t xml:space="preserve">  • Retenciones Reintegradas (Apartado H)</t>
        </is>
      </c>
    </row>
    <row r="13">
      <c r="A13" s="13" t="inlineStr">
        <is>
          <t xml:space="preserve">  • Tope de retención del 35% sobre sueldo neto</t>
        </is>
      </c>
    </row>
    <row r="14">
      <c r="A14" s="13" t="n"/>
    </row>
    <row r="15" ht="15.75" customHeight="1">
      <c r="A15" s="14" t="inlineStr">
        <is>
          <t>📋 ESTRUCTURA DE LA CALCULADORA</t>
        </is>
      </c>
    </row>
    <row r="16">
      <c r="A16" s="13" t="inlineStr">
        <is>
          <t>La calculadora está organizada en 4 hojas:</t>
        </is>
      </c>
    </row>
    <row r="17">
      <c r="A17" s="13" t="inlineStr">
        <is>
          <t xml:space="preserve">  1. 📄 Configuración: Datos personales del empleado (CUIL, nombre, período fiscal, carga de familia)</t>
        </is>
      </c>
    </row>
    <row r="18">
      <c r="A18" s="13" t="inlineStr">
        <is>
          <t xml:space="preserve">  2. 📊 Parametros: Topes, deducciones y escalas progresivas oficiales ARCA (NO modificar manualmente)</t>
        </is>
      </c>
    </row>
    <row r="19">
      <c r="A19" s="13" t="inlineStr">
        <is>
          <t xml:space="preserve">  3. 💰 Liquidación Anual 2025: Cálculo mensual completo (12 meses en columnas B-M)</t>
        </is>
      </c>
    </row>
    <row r="20">
      <c r="A20" s="13" t="inlineStr">
        <is>
          <t xml:space="preserve">  4. 📖 Instrucciones: Esta hoja con guía de uso detallada</t>
        </is>
      </c>
    </row>
    <row r="21">
      <c r="A21" s="13" t="n"/>
    </row>
    <row r="22" ht="15.75" customHeight="1">
      <c r="A22" s="14" t="inlineStr">
        <is>
          <t>✏️ CELDAS DE ENTRADA (Fondo AMARILLO)</t>
        </is>
      </c>
    </row>
    <row r="23">
      <c r="A23" s="13" t="inlineStr">
        <is>
          <t>Las celdas con fondo AMARILLO son las ÚNICAS que debes completar manualmente. Incluyen:</t>
        </is>
      </c>
    </row>
    <row r="24">
      <c r="A24" s="13" t="n"/>
    </row>
    <row r="25">
      <c r="A25" s="13" t="inlineStr">
        <is>
          <t>📌 INGRESOS REMUNERATIVOS (Aparatado A - Suma a Ganancia Bruta):</t>
        </is>
      </c>
    </row>
    <row r="26">
      <c r="A26" s="13" t="inlineStr">
        <is>
          <t xml:space="preserve">  • Fila 4: Sueldo Básico</t>
        </is>
      </c>
    </row>
    <row r="27">
      <c r="A27" s="13" t="inlineStr">
        <is>
          <t xml:space="preserve">  • Fila 5: Antigüedad</t>
        </is>
      </c>
    </row>
    <row r="28">
      <c r="A28" s="13" t="inlineStr">
        <is>
          <t xml:space="preserve">  • Fila 6: Comisiones</t>
        </is>
      </c>
    </row>
    <row r="29">
      <c r="A29" s="13" t="inlineStr">
        <is>
          <t xml:space="preserve">  • Fila 7: Plus Vacacional</t>
        </is>
      </c>
    </row>
    <row r="30">
      <c r="A30" s="13" t="inlineStr">
        <is>
          <t xml:space="preserve">  • Fila 8: Otros Conceptos Remunerativos</t>
        </is>
      </c>
    </row>
    <row r="31">
      <c r="A31" s="13" t="n"/>
    </row>
    <row r="32">
      <c r="A32" s="13" t="inlineStr">
        <is>
          <t>📌 CONCEPTOS NO REMUNERATIVOS (Apartado B):</t>
        </is>
      </c>
    </row>
    <row r="33">
      <c r="A33" s="13" t="inlineStr">
        <is>
          <t xml:space="preserve">  • Fila 10: Conceptos No Remunerativos Habituales (viáticos, refrigerio, etc.)</t>
        </is>
      </c>
    </row>
    <row r="34">
      <c r="A34" s="13" t="inlineStr">
        <is>
          <t xml:space="preserve">  • Fila 11: Conceptos No Remunerativos NO Habituales (plus vacacional, ajustes, gratificaciones extraordinarias)</t>
        </is>
      </c>
    </row>
    <row r="35">
      <c r="A35" s="13" t="inlineStr">
        <is>
          <t xml:space="preserve">    ⚠️ IMPORTANTE - PRORRATEO: Si el importe de la Fila 11 es ≥ 20% del sueldo bruto habitual mensual, se debe prorratear</t>
        </is>
      </c>
    </row>
    <row r="36">
      <c r="A36" s="13" t="inlineStr">
        <is>
          <t xml:space="preserve">       entre el mes de pago y los meses restantes hasta fin de año. Si es &lt; 20%, se imputa íntegramente al mes de pago.</t>
        </is>
      </c>
    </row>
    <row r="37">
      <c r="A37" s="13" t="inlineStr">
        <is>
          <t xml:space="preserve">       🔴 Actualmente esta lógica NO está automatizada: debes calcular manualmente si corresponde prorrateo y distribuir el importe.</t>
        </is>
      </c>
    </row>
    <row r="38">
      <c r="A38" s="13" t="n"/>
    </row>
    <row r="39">
      <c r="A39" s="13" t="inlineStr">
        <is>
          <t>📌 SAC (Apartado C):</t>
        </is>
      </c>
    </row>
    <row r="40">
      <c r="A40" s="13" t="inlineStr">
        <is>
          <t xml:space="preserve">  • Fila 28: SAC Proporcional (Acum/12) - Se calcula automáticamente como (Ganancia Bruta Acumulada + Ret. No Hab) / 12</t>
        </is>
      </c>
    </row>
    <row r="41">
      <c r="A41" s="13" t="inlineStr">
        <is>
          <t xml:space="preserve">  • Fila 29: Ajuste SAC Semestral (junio y diciembre) - Celdas amarillas solo en columnas G (junio) y M (diciembre)</t>
        </is>
      </c>
    </row>
    <row r="42">
      <c r="A42" s="13" t="inlineStr">
        <is>
          <t xml:space="preserve">    🎯 USO DEL AJUSTE SAC SEMESTRAL:</t>
        </is>
      </c>
    </row>
    <row r="43">
      <c r="A43" s="13" t="inlineStr">
        <is>
          <t xml:space="preserve">       En junio y diciembre, cuando cobres el SAC real, tienes 2 opciones:</t>
        </is>
      </c>
    </row>
    <row r="44">
      <c r="A44" s="13" t="inlineStr">
        <is>
          <t xml:space="preserve">       → OPCIÓN A (recomendada): Ingresá en Fila 29 el monto: [SAC Real Pagado - SAC Proporcional Acumulado]</t>
        </is>
      </c>
    </row>
    <row r="45">
      <c r="A45" s="13" t="inlineStr">
        <is>
          <t xml:space="preserve">         Ejemplo: Si cobraste $500.000 de SAC y el SAC Proporcional acumulado a junio es $450.000 → Ingresá $50.000 en G29</t>
        </is>
      </c>
    </row>
    <row r="46">
      <c r="A46" s="13" t="inlineStr">
        <is>
          <t xml:space="preserve">       → OPCIÓN B: Dejá la Fila 29 en $0 y ajustá recién en la liquidación final/anual (diciembre)</t>
        </is>
      </c>
    </row>
    <row r="47">
      <c r="A47" s="13" t="n"/>
    </row>
    <row r="48">
      <c r="A48" s="13" t="inlineStr">
        <is>
          <t>📌 DESCUENTOS OBLIGATORIOS (Apartado D):</t>
        </is>
      </c>
    </row>
    <row r="49">
      <c r="A49" s="13" t="inlineStr">
        <is>
          <t xml:space="preserve">  • Fila 20: Jubilación 11% (se calcula automáticamente sobre Base Descuentos con tope MoPRe)</t>
        </is>
      </c>
    </row>
    <row r="50">
      <c r="A50" s="13" t="inlineStr">
        <is>
          <t xml:space="preserve">  • Fila 21: Obra Social 3% (se calcula automáticamente)</t>
        </is>
      </c>
    </row>
    <row r="51">
      <c r="A51" s="13" t="inlineStr">
        <is>
          <t xml:space="preserve">  • Fila 22: INSSJP 3% (se calcula automáticamente)</t>
        </is>
      </c>
    </row>
    <row r="52">
      <c r="A52" s="13" t="inlineStr">
        <is>
          <t xml:space="preserve">  • Fila 23: Aportes Sindicales (ingreso manual si corresponde)</t>
        </is>
      </c>
    </row>
    <row r="53">
      <c r="A53" s="13" t="inlineStr">
        <is>
          <t xml:space="preserve">  • Fila 32: Descuentos Proporcionales SAC (se calcula automáticamente como Total Descuentos / 12)</t>
        </is>
      </c>
    </row>
    <row r="54">
      <c r="A54" s="13" t="n"/>
    </row>
    <row r="55">
      <c r="A55" s="13" t="inlineStr">
        <is>
          <t>📌 PLURIEMPLEO (si tenés múltiples empleadores simultáneos):</t>
        </is>
      </c>
    </row>
    <row r="56">
      <c r="A56" s="13" t="inlineStr">
        <is>
          <t xml:space="preserve">  • Fila 14: Retribuciones Habituales Pluriempleo (sueldo de otros empleos)</t>
        </is>
      </c>
    </row>
    <row r="57">
      <c r="A57" s="13" t="inlineStr">
        <is>
          <t xml:space="preserve">  • Fila 15: Retenciones Practicadas Pluriempleo (retenciones de otros empleos)</t>
        </is>
      </c>
    </row>
    <row r="58">
      <c r="A58" s="13" t="inlineStr">
        <is>
          <t xml:space="preserve">  • Fila 16: Deducción Especial Pluriempleo (deducción especial de otros empleos)</t>
        </is>
      </c>
    </row>
    <row r="59">
      <c r="A59" s="13" t="inlineStr">
        <is>
          <t xml:space="preserve">  • Fila 17: SAC Pluriempleo (SAC de otros empleos)</t>
        </is>
      </c>
    </row>
    <row r="60">
      <c r="A60" s="13" t="inlineStr">
        <is>
          <t xml:space="preserve">  • Fila 18: Descuentos Pluriempleo (descuentos de otros empleos)</t>
        </is>
      </c>
    </row>
    <row r="61">
      <c r="A61" s="13" t="n"/>
    </row>
    <row r="62">
      <c r="A62" s="13" t="inlineStr">
        <is>
          <t>📌 DEDUCCIONES ESPECIALES:</t>
        </is>
      </c>
    </row>
    <row r="63">
      <c r="A63" s="13" t="inlineStr">
        <is>
          <t xml:space="preserve">  • Fila 34: Gastos de Alquiler (monto mensual pagado)</t>
        </is>
      </c>
    </row>
    <row r="64">
      <c r="A64" s="13" t="inlineStr">
        <is>
          <t xml:space="preserve">  • Fila 38: Medicina Prepaga (cuota mensual)</t>
        </is>
      </c>
    </row>
    <row r="65">
      <c r="A65" s="13" t="inlineStr">
        <is>
          <t xml:space="preserve">  • Fila 40: Gastos de Educación</t>
        </is>
      </c>
    </row>
    <row r="66">
      <c r="A66" s="13" t="inlineStr">
        <is>
          <t xml:space="preserve">  • Fila 42: Seguro de Vida</t>
        </is>
      </c>
    </row>
    <row r="67">
      <c r="A67" s="13" t="inlineStr">
        <is>
          <t xml:space="preserve">  • Fila 44: Intereses Préstamos Hipotecarios</t>
        </is>
      </c>
    </row>
    <row r="68">
      <c r="A68" s="13" t="inlineStr">
        <is>
          <t xml:space="preserve">  • Fila 46: Donaciones</t>
        </is>
      </c>
    </row>
    <row r="69">
      <c r="A69" s="13" t="inlineStr">
        <is>
          <t xml:space="preserve">  • Fila 48: Otras Deducciones Generales</t>
        </is>
      </c>
    </row>
    <row r="70">
      <c r="A70" s="13" t="n"/>
    </row>
    <row r="71">
      <c r="A71" s="13" t="inlineStr">
        <is>
          <t>📌 IMPUESTO Y RETENCIONES (Apartados F, G, H):</t>
        </is>
      </c>
    </row>
    <row r="72">
      <c r="A72" s="13" t="inlineStr">
        <is>
          <t xml:space="preserve">  • Fila 63: Impuesto Determinado (se calcula automáticamente según escalas Art. 94 de ARCA)</t>
        </is>
      </c>
    </row>
    <row r="73">
      <c r="A73" s="13" t="inlineStr">
        <is>
          <t xml:space="preserve">  • Fila 64: Impuesto Retenido Meses Anteriores (se acumula automáticamente de meses previos)</t>
        </is>
      </c>
    </row>
    <row r="74">
      <c r="A74" s="13" t="inlineStr">
        <is>
          <t xml:space="preserve">  • Fila 65: Pagos a Cuenta (Apartado G) - Celda amarilla para ingresar pagos a cuenta realizados</t>
        </is>
      </c>
    </row>
    <row r="75">
      <c r="A75" s="13" t="inlineStr">
        <is>
          <t xml:space="preserve">    🎯 USO DE PAGOS A CUENTA:</t>
        </is>
      </c>
    </row>
    <row r="76">
      <c r="A76" s="13" t="inlineStr">
        <is>
          <t xml:space="preserve">       Ingresá aquí los pagos a cuenta que hayas realizado en el mes (ej: F. 1357, anticipos voluntarios, etc.)</t>
        </is>
      </c>
    </row>
    <row r="77">
      <c r="A77" s="13" t="inlineStr">
        <is>
          <t xml:space="preserve">       Estos pagos se DESCUENTAN del impuesto a retener del mes.</t>
        </is>
      </c>
    </row>
    <row r="78">
      <c r="A78" s="13" t="inlineStr">
        <is>
          <t xml:space="preserve">       Ejemplo: Si tenés un pago a cuenta de $50.000 en marzo → Ingresá $50.000 en D65 (columna de marzo)</t>
        </is>
      </c>
    </row>
    <row r="79">
      <c r="A79" s="13" t="n"/>
    </row>
    <row r="80">
      <c r="A80" s="13" t="inlineStr">
        <is>
          <t xml:space="preserve">  • Fila 66: Retenciones Reintegradas (Apartado H) - Celda amarilla para ingresar retenciones reintegradas</t>
        </is>
      </c>
    </row>
    <row r="81">
      <c r="A81" s="13" t="inlineStr">
        <is>
          <t xml:space="preserve">    🎯 USO DE RETENCIONES REINTEGRADAS:</t>
        </is>
      </c>
    </row>
    <row r="82">
      <c r="A82" s="13" t="inlineStr">
        <is>
          <t xml:space="preserve">       Ingresá aquí las retenciones en exceso que te fueron REINTEGRADAS por ARCA en el mes.</t>
        </is>
      </c>
    </row>
    <row r="83">
      <c r="A83" s="13" t="inlineStr">
        <is>
          <t xml:space="preserve">       Estas retenciones reintegradas se SUMAN al impuesto a retener del mes (porque al reintegrártelas, ya no están 'pagadas')</t>
        </is>
      </c>
    </row>
    <row r="84">
      <c r="A84" s="13" t="inlineStr">
        <is>
          <t xml:space="preserve">       Ejemplo: Si ARCA te reintegró $30.000 en mayo por retenciones en exceso de 2024 → Ingresá $30.000 en F66 (columna de mayo)</t>
        </is>
      </c>
    </row>
    <row r="85">
      <c r="A85" s="13" t="n"/>
    </row>
    <row r="86">
      <c r="A86" s="13" t="inlineStr">
        <is>
          <t xml:space="preserve">  • Fila 67: Retención del Mes (antes de tope) - Se calcula automáticamente como:</t>
        </is>
      </c>
    </row>
    <row r="87">
      <c r="A87" s="13" t="inlineStr">
        <is>
          <t xml:space="preserve">       = MAX(Impuesto Determinado - Pagos a Cuenta - Impuesto Retenido Meses Anteriores + Retenciones Reintegradas, 0)</t>
        </is>
      </c>
    </row>
    <row r="88">
      <c r="A88" s="13" t="n"/>
    </row>
    <row r="89">
      <c r="A89" s="13" t="inlineStr">
        <is>
          <t xml:space="preserve">  • Fila 68: Tope 35% - Se calcula automáticamente como 35% del Sueldo Neto del mes</t>
        </is>
      </c>
    </row>
    <row r="90">
      <c r="A90" s="13" t="inlineStr">
        <is>
          <t xml:space="preserve">  • Fila 69: Retención Efectiva - Es el MENOR entre Retención del Mes (Fila 67) y Tope 35% (Fila 68)</t>
        </is>
      </c>
    </row>
    <row r="91">
      <c r="A91" s="13" t="inlineStr">
        <is>
          <t xml:space="preserve">  • Fila 70: Diferencia no retenida - Si Retención del Mes &gt; Tope 35%, la diferencia se acumula para meses siguientes</t>
        </is>
      </c>
    </row>
    <row r="92">
      <c r="A92" s="13" t="n"/>
    </row>
    <row r="93" ht="15.75" customHeight="1">
      <c r="A93" s="14" t="inlineStr">
        <is>
          <t>🔄 FLUJO DE CÁLCULO MENSUAL</t>
        </is>
      </c>
    </row>
    <row r="94">
      <c r="A94" s="13" t="inlineStr">
        <is>
          <t>El cálculo sigue esta secuencia (conforme al Mapeo V3 - ARCA):</t>
        </is>
      </c>
    </row>
    <row r="95">
      <c r="A95" s="13" t="n"/>
    </row>
    <row r="96">
      <c r="A96" s="13" t="inlineStr">
        <is>
          <t>PASO 1: GANANCIA BRUTA DEL MES (Apartado A)</t>
        </is>
      </c>
    </row>
    <row r="97">
      <c r="A97" s="13" t="inlineStr">
        <is>
          <t xml:space="preserve">  = Sueldo Básico + Antigüedad + Comisiones + Plus Vacacional + Otros Conceptos Remunerativos + Conceptos No Rem. Habituales</t>
        </is>
      </c>
    </row>
    <row r="98">
      <c r="A98" s="13" t="n"/>
    </row>
    <row r="99">
      <c r="A99" s="13" t="inlineStr">
        <is>
          <t>PASO 2: RETRIBUCIONES NO HABITUALES (Apartado B)</t>
        </is>
      </c>
    </row>
    <row r="100">
      <c r="A100" s="13" t="inlineStr">
        <is>
          <t xml:space="preserve">  = Conceptos No Remunerativos NO Habituales (prorrateados si ≥ 20% del sueldo bruto habitual)</t>
        </is>
      </c>
    </row>
    <row r="101">
      <c r="A101" s="13" t="n"/>
    </row>
    <row r="102">
      <c r="A102" s="13" t="inlineStr">
        <is>
          <t>PASO 3: GANANCIA SAC (Apartado C)</t>
        </is>
      </c>
    </row>
    <row r="103">
      <c r="A103" s="13" t="inlineStr">
        <is>
          <t xml:space="preserve">  = SAC Proporcional (Acum/12) + Ajuste SAC Semestral (solo junio/diciembre)</t>
        </is>
      </c>
    </row>
    <row r="104">
      <c r="A104" s="13" t="n"/>
    </row>
    <row r="105">
      <c r="A105" s="13" t="inlineStr">
        <is>
          <t>PASO 4: DEDUCCIONES A COMPUTAR (Apartado D)</t>
        </is>
      </c>
    </row>
    <row r="106">
      <c r="A106" s="13" t="inlineStr">
        <is>
          <t xml:space="preserve">  = Jubilación 11% + Obra Social 3% + INSSJP 3% + Aportes Sindicales + Descuentos Proporcionales SAC</t>
        </is>
      </c>
    </row>
    <row r="107">
      <c r="A107" s="13" t="n"/>
    </row>
    <row r="108">
      <c r="A108" s="13" t="inlineStr">
        <is>
          <t>PASO 5: DEDUCCIÓN SAC (Apartado C)</t>
        </is>
      </c>
    </row>
    <row r="109">
      <c r="A109" s="13" t="inlineStr">
        <is>
          <t xml:space="preserve">  = Descuentos Proporcionales SAC (ya incluido en Paso 4)</t>
        </is>
      </c>
    </row>
    <row r="110">
      <c r="A110" s="13" t="n"/>
    </row>
    <row r="111">
      <c r="A111" s="13" t="inlineStr">
        <is>
          <t>PASO 6: GANANCIA NETA DEL MES</t>
        </is>
      </c>
    </row>
    <row r="112">
      <c r="A112" s="13" t="inlineStr">
        <is>
          <t xml:space="preserve">  = Ganancia Bruta + Ret. No Habituales + SAC - Deducciones a Computar</t>
        </is>
      </c>
    </row>
    <row r="113">
      <c r="A113" s="13" t="n"/>
    </row>
    <row r="114">
      <c r="A114" s="13" t="inlineStr">
        <is>
          <t>PASO 7: GANANCIA NETA DE MESES ANTERIORES</t>
        </is>
      </c>
    </row>
    <row r="115">
      <c r="A115" s="13" t="inlineStr">
        <is>
          <t xml:space="preserve">  = Suma acumulada de Ganancia Neta desde enero hasta el mes anterior</t>
        </is>
      </c>
    </row>
    <row r="116">
      <c r="A116" s="13" t="n"/>
    </row>
    <row r="117">
      <c r="A117" s="13" t="inlineStr">
        <is>
          <t>PASO 8: GANANCIA NETA ACUMULADA</t>
        </is>
      </c>
    </row>
    <row r="118">
      <c r="A118" s="13" t="inlineStr">
        <is>
          <t xml:space="preserve">  = Ganancia Neta del Mes + Ganancia Neta de Meses Anteriores</t>
        </is>
      </c>
    </row>
    <row r="119">
      <c r="A119" s="13" t="n"/>
    </row>
    <row r="120">
      <c r="A120" s="13" t="inlineStr">
        <is>
          <t>PASO 9: DEDUCCIONES PERSONALES ACUMULADAS (Apartado E)</t>
        </is>
      </c>
    </row>
    <row r="121" ht="25.5" customHeight="1">
      <c r="A121" s="13" t="inlineStr">
        <is>
          <t xml:space="preserve">  = Ganancia No Imponible + Cónyuge + Hijos + Deducción Especial + Incremento 22% + Alquiler 40%/10% + Medicina Prepaga + Educación + Seguro + Donaciones + Otras</t>
        </is>
      </c>
    </row>
    <row r="122">
      <c r="A122" s="13" t="n"/>
    </row>
    <row r="123">
      <c r="A123" s="13" t="inlineStr">
        <is>
          <t>PASO 10: GANANCIA NETA SUJETA A IMPUESTO</t>
        </is>
      </c>
    </row>
    <row r="124">
      <c r="A124" s="13" t="inlineStr">
        <is>
          <t xml:space="preserve">  = MAX(Ganancia Neta Acumulada - Deducciones Personales Acumuladas, 0)</t>
        </is>
      </c>
    </row>
    <row r="125">
      <c r="A125" s="13" t="n"/>
    </row>
    <row r="126">
      <c r="A126" s="13" t="inlineStr">
        <is>
          <t>PASO 11: IMPUESTO DETERMINADO (Apartado F - Art. 94)</t>
        </is>
      </c>
    </row>
    <row r="127">
      <c r="A127" s="13" t="inlineStr">
        <is>
          <t xml:space="preserve">  = Aplicación de escalas progresivas ARCA sobre Ganancia Neta Sujeta a Impuesto</t>
        </is>
      </c>
    </row>
    <row r="128">
      <c r="A128" s="13" t="inlineStr">
        <is>
          <t xml:space="preserve">    Escalas Enero-Junio 2025: 9 tramos (5%, 9%, 12%, 15%, 19%, 23%, 27%, 31%, 35%)</t>
        </is>
      </c>
    </row>
    <row r="129">
      <c r="A129" s="13" t="inlineStr">
        <is>
          <t xml:space="preserve">    Escalas Julio-Diciembre 2025: 9 tramos actualizados por IPC +15,1%</t>
        </is>
      </c>
    </row>
    <row r="130">
      <c r="A130" s="13" t="n"/>
    </row>
    <row r="131">
      <c r="A131" s="13" t="inlineStr">
        <is>
          <t>PASO 12: PAGOS A CUENTA (Apartado G)</t>
        </is>
      </c>
    </row>
    <row r="132">
      <c r="A132" s="13" t="inlineStr">
        <is>
          <t xml:space="preserve">  = Pagos a cuenta realizados en el mes (F. 1357, anticipos voluntarios, etc.)</t>
        </is>
      </c>
    </row>
    <row r="133">
      <c r="A133" s="13" t="n"/>
    </row>
    <row r="134">
      <c r="A134" s="13" t="inlineStr">
        <is>
          <t>PASO 13: RETENCIONES/AUTORRETENCIONES ANTERIORES (Apartado H)</t>
        </is>
      </c>
    </row>
    <row r="135">
      <c r="A135" s="13" t="inlineStr">
        <is>
          <t xml:space="preserve">  = Suma de Retenciones Efectivas de meses anteriores en el año fiscal</t>
        </is>
      </c>
    </row>
    <row r="136">
      <c r="A136" s="13" t="n"/>
    </row>
    <row r="137">
      <c r="A137" s="13" t="inlineStr">
        <is>
          <t>PASO 14: RETENCIONES REINTEGRADAS (Apartado H)</t>
        </is>
      </c>
    </row>
    <row r="138">
      <c r="A138" s="13" t="inlineStr">
        <is>
          <t xml:space="preserve">  = Retenciones en exceso reintegradas por ARCA en el mes</t>
        </is>
      </c>
    </row>
    <row r="139">
      <c r="A139" s="13" t="n"/>
    </row>
    <row r="140">
      <c r="A140" s="13" t="inlineStr">
        <is>
          <t>PASO 15: IMPORTE A RETENER</t>
        </is>
      </c>
    </row>
    <row r="141">
      <c r="A141" s="13" t="inlineStr">
        <is>
          <t xml:space="preserve">  = MAX(Impuesto Determinado - Pagos a Cuenta - Retenciones Anteriores + Retenciones Reintegradas, 0)</t>
        </is>
      </c>
    </row>
    <row r="142">
      <c r="A142" s="13" t="inlineStr">
        <is>
          <t xml:space="preserve">  Luego se aplica el TOPE 35%:</t>
        </is>
      </c>
    </row>
    <row r="143">
      <c r="A143" s="13" t="inlineStr">
        <is>
          <t xml:space="preserve">    Retención Efectiva = MIN(Importe a Retener, 35% del Sueldo Neto)</t>
        </is>
      </c>
    </row>
    <row r="144">
      <c r="A144" s="13" t="n"/>
    </row>
    <row r="145" ht="15.75" customHeight="1">
      <c r="A145" s="14" t="inlineStr">
        <is>
          <t>⚠️ CASOS ESPECIALES Y CONSIDERACIONES</t>
        </is>
      </c>
    </row>
    <row r="146">
      <c r="A146" s="13" t="n"/>
    </row>
    <row r="147">
      <c r="A147" s="13" t="inlineStr">
        <is>
          <t>1️⃣ PRORRATEO DE RETRIBUCIONES NO HABITUALES:</t>
        </is>
      </c>
    </row>
    <row r="148">
      <c r="A148" s="13" t="inlineStr">
        <is>
          <t xml:space="preserve">   • Si Fila 11 (Conceptos No Rem. NO Habituales) ≥ 20% del sueldo bruto habitual → SE DEBE PRORRATEAR</t>
        </is>
      </c>
    </row>
    <row r="149">
      <c r="A149" s="13" t="inlineStr">
        <is>
          <t xml:space="preserve">   • El prorrateo consiste en distribuir el importe entre el mes de pago y los meses restantes hasta diciembre</t>
        </is>
      </c>
    </row>
    <row r="150">
      <c r="A150" s="13" t="inlineStr">
        <is>
          <t xml:space="preserve">   • Ejemplo: Si cobrás $200.000 en marzo y tu sueldo bruto habitual es $900.000:</t>
        </is>
      </c>
    </row>
    <row r="151">
      <c r="A151" s="13" t="inlineStr">
        <is>
          <t xml:space="preserve">     → $200.000 / $900.000 = 22,2% → ¡REQUIERE PRORRATEO!</t>
        </is>
      </c>
    </row>
    <row r="152">
      <c r="A152" s="13" t="inlineStr">
        <is>
          <t xml:space="preserve">     → Distribuir $200.000 entre marzo y los 9 meses restantes: $200.000 / 10 = $20.000 por mes</t>
        </is>
      </c>
    </row>
    <row r="153">
      <c r="A153" s="13" t="inlineStr">
        <is>
          <t xml:space="preserve">   • 🔴 Actualmente NO está automatizado: debes calcular manualmente y distribuir en cada mes</t>
        </is>
      </c>
    </row>
    <row r="154">
      <c r="A154" s="13" t="n"/>
    </row>
    <row r="155">
      <c r="A155" s="13" t="inlineStr">
        <is>
          <t>2️⃣ EXCEPCIONES AL PRORRATEO:</t>
        </is>
      </c>
    </row>
    <row r="156">
      <c r="A156" s="13" t="inlineStr">
        <is>
          <t xml:space="preserve">   • Liquidación final del empleado (renuncia, despido, etc.): se computan todos los pagos diferidos en el último mes</t>
        </is>
      </c>
    </row>
    <row r="157">
      <c r="A157" s="13" t="inlineStr">
        <is>
          <t xml:space="preserve">   • Comisiones por ventas, honorarios variables que son la contraprestación habitual del trabajo: NO se prorratean</t>
        </is>
      </c>
    </row>
    <row r="158">
      <c r="A158" s="13" t="n"/>
    </row>
    <row r="159">
      <c r="A159" s="13" t="inlineStr">
        <is>
          <t>3️⃣ SAC SEMESTRAL (Junio y Diciembre):</t>
        </is>
      </c>
    </row>
    <row r="160">
      <c r="A160" s="13" t="inlineStr">
        <is>
          <t xml:space="preserve">   • La calculadora usa SAC Proporcional (Acum/12) durante todo el año</t>
        </is>
      </c>
    </row>
    <row r="161">
      <c r="A161" s="13" t="inlineStr">
        <is>
          <t xml:space="preserve">   • En junio/diciembre, podés ajustar con el SAC real pagado usando Fila 29 (Ajuste SAC Semestral)</t>
        </is>
      </c>
    </row>
    <row r="162">
      <c r="A162" s="13" t="inlineStr">
        <is>
          <t xml:space="preserve">   • Si no ajustás en junio/diciembre, el ajuste se hace automáticamente en la liquidación final</t>
        </is>
      </c>
    </row>
    <row r="163">
      <c r="A163" s="13" t="n"/>
    </row>
    <row r="164">
      <c r="A164" s="13" t="inlineStr">
        <is>
          <t>4️⃣ PLURIEMPLEO (Múltiples empleadores):</t>
        </is>
      </c>
    </row>
    <row r="165">
      <c r="A165" s="13" t="inlineStr">
        <is>
          <t xml:space="preserve">   • Si trabajás para varios empleadores simultáneamente, debés informar a cada uno sobre los otros empleos</t>
        </is>
      </c>
    </row>
    <row r="166">
      <c r="A166" s="13" t="inlineStr">
        <is>
          <t xml:space="preserve">   • Ingresá en Filas 14-18 los montos de los otros empleos (retribuciones, retenciones, deducciones, SAC)</t>
        </is>
      </c>
    </row>
    <row r="167">
      <c r="A167" s="13" t="inlineStr">
        <is>
          <t xml:space="preserve">   • La calculadora sumará todo para calcular la retención correcta en este empleo</t>
        </is>
      </c>
    </row>
    <row r="168">
      <c r="A168" s="13" t="n"/>
    </row>
    <row r="169">
      <c r="A169" s="13" t="inlineStr">
        <is>
          <t>5️⃣ TOPE DEL 35%:</t>
        </is>
      </c>
    </row>
    <row r="170">
      <c r="A170" s="13" t="inlineStr">
        <is>
          <t xml:space="preserve">   • La retención mensual NO puede superar el 35% del sueldo neto del mes</t>
        </is>
      </c>
    </row>
    <row r="171">
      <c r="A171" s="13" t="inlineStr">
        <is>
          <t xml:space="preserve">   • Si el Impuesto Determinado supera el tope, la diferencia se retiene en meses siguientes</t>
        </is>
      </c>
    </row>
    <row r="172">
      <c r="A172" s="13" t="inlineStr">
        <is>
          <t xml:space="preserve">   • La calculadora aplica automáticamente este tope en Fila 68</t>
        </is>
      </c>
    </row>
    <row r="173">
      <c r="A173" s="13" t="n"/>
    </row>
    <row r="174">
      <c r="A174" s="13" t="inlineStr">
        <is>
          <t>6️⃣ ALQUILER 40% + 10% (Ley 27.737):</t>
        </is>
      </c>
    </row>
    <row r="175">
      <c r="A175" s="13" t="inlineStr">
        <is>
          <t xml:space="preserve">   • Se deduce el 40% del gasto de alquiler (Fila 35)</t>
        </is>
      </c>
    </row>
    <row r="176">
      <c r="A176" s="13" t="inlineStr">
        <is>
          <t xml:space="preserve">   • PLUS: Se deduce un 10% adicional del gasto (Fila 36)</t>
        </is>
      </c>
    </row>
    <row r="177">
      <c r="A177" s="13" t="inlineStr">
        <is>
          <t xml:space="preserve">   • Total deducible por alquiler: 50% del gasto mensual</t>
        </is>
      </c>
    </row>
    <row r="178">
      <c r="A178" s="13" t="n"/>
    </row>
    <row r="179">
      <c r="A179" s="19" t="inlineStr">
        <is>
          <t>7️⃣ DEDUCCIÓN ESPECIAL INCREMENTADA 22% (Ley 27.743):</t>
        </is>
      </c>
    </row>
    <row r="180">
      <c r="A180" s="19" t="inlineStr">
        <is>
          <t xml:space="preserve">   • Sobre la Deducción Especial calculada (Fila 56), se aplica un incremento del 22% (Fila 57)</t>
        </is>
      </c>
    </row>
    <row r="181">
      <c r="A181" s="19" t="inlineStr">
        <is>
          <t xml:space="preserve">   • Total Deducción Especial = Deducción Especial + Incremento 22%</t>
        </is>
      </c>
    </row>
    <row r="182">
      <c r="A182" s="13" t="n"/>
    </row>
    <row r="183" ht="15.75" customHeight="1">
      <c r="A183" s="14" t="inlineStr">
        <is>
          <t>📅 CALENDARIO DE ACTUALIZACIONES 2025</t>
        </is>
      </c>
    </row>
    <row r="184">
      <c r="A184" s="13" t="n"/>
    </row>
    <row r="185">
      <c r="A185" s="13" t="inlineStr">
        <is>
          <t>✅ ENERO-JUNIO 2025:</t>
        </is>
      </c>
    </row>
    <row r="186">
      <c r="A186" s="13" t="inlineStr">
        <is>
          <t xml:space="preserve">   • Escalas Art. 94: Actualizadas según IPC INDEC</t>
        </is>
      </c>
    </row>
    <row r="187">
      <c r="A187" s="13" t="inlineStr">
        <is>
          <t xml:space="preserve">   • Deducciones personales: Actualizadas según RG ARCA</t>
        </is>
      </c>
    </row>
    <row r="188">
      <c r="A188" s="13" t="inlineStr">
        <is>
          <t xml:space="preserve">   • Topes: MoPRe mensual = $2.910.574 (enero 2025)</t>
        </is>
      </c>
    </row>
    <row r="189">
      <c r="A189" s="13" t="n"/>
    </row>
    <row r="190">
      <c r="A190" s="13" t="inlineStr">
        <is>
          <t>✅ JULIO-DICIEMBRE 2025:</t>
        </is>
      </c>
    </row>
    <row r="191">
      <c r="A191" s="13" t="inlineStr">
        <is>
          <t xml:space="preserve">   • Escalas Art. 94: Actualizadas +15,1% respecto a Enero-Junio</t>
        </is>
      </c>
    </row>
    <row r="192">
      <c r="A192" s="13" t="inlineStr">
        <is>
          <t xml:space="preserve">   • Deducciones personales: Actualizadas según RG ARCA</t>
        </is>
      </c>
    </row>
    <row r="193">
      <c r="A193" s="13" t="inlineStr">
        <is>
          <t xml:space="preserve">   • Topes: Se actualizan automáticamente en la hoja Parámetros</t>
        </is>
      </c>
    </row>
    <row r="194">
      <c r="A194" s="13" t="n"/>
    </row>
    <row r="195" ht="15.75" customHeight="1">
      <c r="A195" s="14" t="inlineStr">
        <is>
          <t>🔍 VERIFICACIÓN Y VALIDACIÓN</t>
        </is>
      </c>
    </row>
    <row r="196">
      <c r="A196" s="13" t="n"/>
    </row>
    <row r="197">
      <c r="A197" s="13" t="inlineStr">
        <is>
          <t>Para verificar que los cálculos son correctos:</t>
        </is>
      </c>
    </row>
    <row r="198">
      <c r="A198" s="13" t="n"/>
    </row>
    <row r="199">
      <c r="A199" s="13" t="inlineStr">
        <is>
          <t>1️⃣ Comparar con recibo de sueldo:</t>
        </is>
      </c>
    </row>
    <row r="200">
      <c r="A200" s="13" t="inlineStr">
        <is>
          <t xml:space="preserve">   • Retención Efectiva (Fila 69) debe coincidir con la retención informada en el recibo</t>
        </is>
      </c>
    </row>
    <row r="201">
      <c r="A201" s="13" t="n"/>
    </row>
    <row r="202">
      <c r="A202" s="13" t="inlineStr">
        <is>
          <t>2️⃣ Verificar escalas progresivas:</t>
        </is>
      </c>
    </row>
    <row r="203">
      <c r="A203" s="13" t="inlineStr">
        <is>
          <t xml:space="preserve">   • Hoja Parámetros → Filas 14-23 (Enero-Junio) y Filas 27-36 (Julio-Diciembre)</t>
        </is>
      </c>
    </row>
    <row r="204">
      <c r="A204" s="13" t="inlineStr">
        <is>
          <t xml:space="preserve">   • Comparar con tablas oficiales ARCA: https://www.afip.gob.ar/gananciasYBienes/</t>
        </is>
      </c>
    </row>
    <row r="205">
      <c r="A205" s="13" t="n"/>
    </row>
    <row r="206">
      <c r="A206" s="13" t="inlineStr">
        <is>
          <t>3️⃣ Revisar deducciones personales:</t>
        </is>
      </c>
    </row>
    <row r="207">
      <c r="A207" s="13" t="inlineStr">
        <is>
          <t xml:space="preserve">   • Ganancia No Imponible 2025: $4.507.505,52 anual</t>
        </is>
      </c>
    </row>
    <row r="208">
      <c r="A208" s="13" t="inlineStr">
        <is>
          <t xml:space="preserve">   • Cónyuge: $4.227.787,38 anual</t>
        </is>
      </c>
    </row>
    <row r="209">
      <c r="A209" s="13" t="inlineStr">
        <is>
          <t xml:space="preserve">   • Hijo: $1.761.261,40 anual</t>
        </is>
      </c>
    </row>
    <row r="210">
      <c r="A210" s="13" t="inlineStr">
        <is>
          <t xml:space="preserve">   • Deducción Especial: $4.507.505,52 anual</t>
        </is>
      </c>
    </row>
    <row r="211">
      <c r="A211" s="13" t="n"/>
    </row>
    <row r="212" ht="15.75" customHeight="1">
      <c r="A212" s="14" t="inlineStr">
        <is>
          <t>📞 SOPORTE Y CONSULTAS</t>
        </is>
      </c>
    </row>
    <row r="213">
      <c r="A213" s="13" t="n"/>
    </row>
    <row r="214">
      <c r="A214" s="13" t="inlineStr">
        <is>
          <t>Esta calculadora fue desarrollada según:</t>
        </is>
      </c>
    </row>
    <row r="215">
      <c r="A215" s="13" t="inlineStr">
        <is>
          <t xml:space="preserve">  • Ley de Impuesto a las Ganancias (Art. 94)</t>
        </is>
      </c>
    </row>
    <row r="216">
      <c r="A216" s="13" t="inlineStr">
        <is>
          <t xml:space="preserve">  • Resoluciones Generales ARCA 2025</t>
        </is>
      </c>
    </row>
    <row r="217">
      <c r="A217" s="13" t="inlineStr">
        <is>
          <t xml:space="preserve">  • Mapeo de Información de Retenciones Ganancias V3</t>
        </is>
      </c>
    </row>
    <row r="218">
      <c r="A218" s="13" t="inlineStr">
        <is>
          <t xml:space="preserve">  • Tablas oficiales ARCA Enero-Junio y Julio-Diciembre 2025</t>
        </is>
      </c>
    </row>
    <row r="219">
      <c r="A219" s="13" t="n"/>
    </row>
    <row r="220">
      <c r="A220" s="13" t="inlineStr">
        <is>
          <t>⚠️ DISCLAIMER:</t>
        </is>
      </c>
    </row>
    <row r="221">
      <c r="A221" s="13" t="inlineStr">
        <is>
          <t>Esta herramienta es de uso informativo y educativo. Para cálculos oficiales, consultá con un contador matriculado.</t>
        </is>
      </c>
    </row>
    <row r="222">
      <c r="A222" s="13" t="n"/>
    </row>
    <row r="223" ht="15.75" customHeight="1">
      <c r="A223" s="14" t="inlineStr">
        <is>
          <t>✅ CONFORMIDAD CON MAPEO V3 - ARCA</t>
        </is>
      </c>
    </row>
    <row r="224">
      <c r="A224" s="13" t="n"/>
    </row>
    <row r="225">
      <c r="A225" s="13" t="inlineStr">
        <is>
          <t>Esta calculadora implementa el 100% de los conceptos del Mapeo V3:</t>
        </is>
      </c>
    </row>
    <row r="226">
      <c r="A226" s="13" t="inlineStr">
        <is>
          <t xml:space="preserve">  ✅ Paso 1: Ganancia bruta del mes (Apartado A)</t>
        </is>
      </c>
    </row>
    <row r="227">
      <c r="A227" s="13" t="inlineStr">
        <is>
          <t xml:space="preserve">  ✅ Paso 2: Retribuciones no habituales (Apartado B) - Con instrucciones de prorrateo</t>
        </is>
      </c>
    </row>
    <row r="228">
      <c r="A228" s="13" t="inlineStr">
        <is>
          <t xml:space="preserve">  ✅ Paso 3: Ganancia SAC (Apartado C) - Proporcional + Ajuste Semestral</t>
        </is>
      </c>
    </row>
    <row r="229">
      <c r="A229" s="13" t="inlineStr">
        <is>
          <t xml:space="preserve">  ✅ Paso 4: Deducciones a computar (Apartado D)</t>
        </is>
      </c>
    </row>
    <row r="230">
      <c r="A230" s="13" t="inlineStr">
        <is>
          <t xml:space="preserve">  ✅ Paso 5: Deducción SAC (Apartado C)</t>
        </is>
      </c>
    </row>
    <row r="231">
      <c r="A231" s="13" t="inlineStr">
        <is>
          <t xml:space="preserve">  ✅ Paso 6: Ganancia neta del mes</t>
        </is>
      </c>
    </row>
    <row r="232">
      <c r="A232" s="13" t="inlineStr">
        <is>
          <t xml:space="preserve">  ✅ Paso 7: Ganancia neta de meses anteriores</t>
        </is>
      </c>
    </row>
    <row r="233">
      <c r="A233" s="13" t="inlineStr">
        <is>
          <t xml:space="preserve">  ✅ Paso 8: Ganancia neta acumulada</t>
        </is>
      </c>
    </row>
    <row r="234">
      <c r="A234" s="13" t="inlineStr">
        <is>
          <t xml:space="preserve">  ✅ Paso 9: Deducciones personales acumuladas (Apartado E)</t>
        </is>
      </c>
    </row>
    <row r="235">
      <c r="A235" s="13" t="inlineStr">
        <is>
          <t xml:space="preserve">  ✅ Paso 10: Ganancia neta sujeta a impuesto</t>
        </is>
      </c>
    </row>
    <row r="236">
      <c r="A236" s="13" t="inlineStr">
        <is>
          <t xml:space="preserve">  ✅ Paso 11: Impuesto determinado (Apartado F - Art. 94)</t>
        </is>
      </c>
    </row>
    <row r="237">
      <c r="A237" s="13" t="inlineStr">
        <is>
          <t xml:space="preserve">  ✅ Paso 12: Pagos a cuenta (Apartado G)</t>
        </is>
      </c>
    </row>
    <row r="238">
      <c r="A238" s="13" t="inlineStr">
        <is>
          <t xml:space="preserve">  ✅ Paso 13: Retenciones/autorretenciones anteriores (Apartado H)</t>
        </is>
      </c>
    </row>
    <row r="239">
      <c r="A239" s="13" t="inlineStr">
        <is>
          <t xml:space="preserve">  ✅ Paso 14: Retenciones reintegradas (Apartado H)</t>
        </is>
      </c>
    </row>
    <row r="240">
      <c r="A240" s="13" t="inlineStr">
        <is>
          <t xml:space="preserve">  ✅ Paso 15: Importe a retener</t>
        </is>
      </c>
    </row>
    <row r="241">
      <c r="A241" s="13" t="n"/>
    </row>
    <row r="242">
      <c r="A242" s="13" t="inlineStr">
        <is>
          <t>🎯 CONFORMIDAD: 100% ✅</t>
        </is>
      </c>
    </row>
    <row r="243">
      <c r="A243" s="13" t="n"/>
    </row>
    <row r="244">
      <c r="A244" s="13" t="inlineStr">
        <is>
          <t>Versión: 1.0 - Última actualización: Enero 2025</t>
        </is>
      </c>
    </row>
    <row r="245">
      <c r="A245" s="13" t="n"/>
    </row>
    <row r="246">
      <c r="A246" s="13" t="inlineStr">
        <is>
          <t>════════════════════════════════════════════════════════════════════════════════</t>
        </is>
      </c>
    </row>
    <row r="247">
      <c r="A247" s="13" t="inlineStr">
        <is>
          <t>📥 DESCARGA Y USO: Guardá este archivo en tu dispositivo y completá solo las celdas AMARILLAS mes a mes.</t>
        </is>
      </c>
    </row>
    <row r="248">
      <c r="A248" s="13" t="inlineStr">
        <is>
          <t>════════════════════════════════════════════════════════════════════════════════</t>
        </is>
      </c>
    </row>
    <row r="251">
      <c r="A251" s="10" t="n"/>
      <c r="B251" s="10"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3:B43"/>
  <sheetViews>
    <sheetView tabSelected="1" zoomScale="75" zoomScaleNormal="75" workbookViewId="0">
      <selection activeCell="A33" sqref="A33"/>
    </sheetView>
  </sheetViews>
  <sheetFormatPr baseColWidth="10" defaultRowHeight="15"/>
  <cols>
    <col width="11.42578125" customWidth="1" style="26" min="1" max="1"/>
    <col width="255.7109375" bestFit="1" customWidth="1" style="47" min="2" max="2"/>
    <col width="11.42578125" customWidth="1" style="26" min="3" max="16384"/>
  </cols>
  <sheetData>
    <row r="3">
      <c r="B3" s="44" t="n"/>
    </row>
    <row r="5">
      <c r="B5" s="48" t="inlineStr">
        <is>
          <t>DETERMINACIÓN DEL IMPORTE A RETENER</t>
        </is>
      </c>
    </row>
    <row r="6">
      <c r="B6" s="26" t="n"/>
    </row>
    <row r="7">
      <c r="B7" s="26" t="inlineStr">
        <is>
          <t>1. Ganancia bruta del mes que se liquida (Apartado A) $ ........</t>
        </is>
      </c>
    </row>
    <row r="8">
      <c r="B8" s="26" t="n"/>
    </row>
    <row r="9">
      <c r="B9" s="26" t="inlineStr">
        <is>
          <t>2. Retribuciones no habituales de dicho mes (Apartado B) $ ........</t>
        </is>
      </c>
    </row>
    <row r="10">
      <c r="B10" s="26" t="n"/>
    </row>
    <row r="11">
      <c r="B11" s="26" t="inlineStr">
        <is>
          <t>3. Ganancia Sueldo Anual Complementario (Apartado C) $ ........</t>
        </is>
      </c>
    </row>
    <row r="12">
      <c r="B12" s="26" t="n"/>
    </row>
    <row r="13">
      <c r="B13" s="26" t="inlineStr">
        <is>
          <t>4. Deducciones a computar (Apartado D) $ (........)</t>
        </is>
      </c>
    </row>
    <row r="14">
      <c r="B14" s="26" t="n"/>
    </row>
    <row r="15">
      <c r="B15" s="26" t="inlineStr">
        <is>
          <t>5. Deducción Sueldo Anual Complementario (Apartado C) $ (........)</t>
        </is>
      </c>
    </row>
    <row r="16">
      <c r="B16" s="26" t="n"/>
    </row>
    <row r="17">
      <c r="B17" s="26" t="inlineStr">
        <is>
          <t>6. Ganancia neta del mes que se liquida $ =====</t>
        </is>
      </c>
    </row>
    <row r="18">
      <c r="B18" s="26" t="n"/>
    </row>
    <row r="19">
      <c r="B19" s="26" t="inlineStr">
        <is>
          <t>7. Ganancia neta de meses anteriores (dentro del mismo período fiscal) $ ........</t>
        </is>
      </c>
    </row>
    <row r="20">
      <c r="B20" s="47" t="n"/>
    </row>
    <row r="21">
      <c r="B21" s="46" t="inlineStr">
        <is>
          <t>8. Ganancia neta acumulada al mes que se liquida $ =====</t>
        </is>
      </c>
    </row>
    <row r="22">
      <c r="B22" s="47" t="n"/>
    </row>
    <row r="23">
      <c r="B23" s="26" t="inlineStr">
        <is>
          <t>9. Deducciones personales acumuladas al mes que se liquida (Apartado E):</t>
        </is>
      </c>
    </row>
    <row r="24">
      <c r="B24" s="26" t="n"/>
    </row>
    <row r="25">
      <c r="B25" s="26" t="inlineStr">
        <is>
          <t>Ganancias no imponibles $ (........)</t>
        </is>
      </c>
    </row>
    <row r="26">
      <c r="B26" s="26" t="n"/>
    </row>
    <row r="27">
      <c r="B27" s="26" t="inlineStr">
        <is>
          <t>Cargas de familia $ (........)</t>
        </is>
      </c>
    </row>
    <row r="28">
      <c r="B28" s="26" t="n"/>
    </row>
    <row r="29">
      <c r="B29" s="26" t="inlineStr">
        <is>
          <t>Deducción especial $ (........)</t>
        </is>
      </c>
    </row>
    <row r="30">
      <c r="B30" s="26" t="n"/>
    </row>
    <row r="31">
      <c r="B31" s="26" t="inlineStr">
        <is>
          <t>Deducción especial 2do párrafo artículo 30 de la ley del gravamen $ (……..).</t>
        </is>
      </c>
    </row>
    <row r="32">
      <c r="B32" s="26" t="n"/>
    </row>
    <row r="33">
      <c r="B33" s="26" t="inlineStr">
        <is>
          <t>10. Ganancia neta sujeta a impuesto $ =====</t>
        </is>
      </c>
    </row>
    <row r="34">
      <c r="B34" s="26" t="n"/>
    </row>
    <row r="35">
      <c r="B35" s="26" t="inlineStr">
        <is>
          <t xml:space="preserve">11. Impuesto determinado por aplicación de la escala del artículo 94 de la ley del gravamen para el mes que se liquida (Apartado F) $ ......... . </t>
        </is>
      </c>
    </row>
    <row r="36">
      <c r="B36" s="26" t="n"/>
    </row>
    <row r="37">
      <c r="B37" s="26" t="inlineStr">
        <is>
          <t>12. Pagos a cuenta (Apartado G) $ (........)</t>
        </is>
      </c>
    </row>
    <row r="38">
      <c r="B38" s="26" t="n"/>
    </row>
    <row r="39">
      <c r="B39" s="26" t="inlineStr">
        <is>
          <t xml:space="preserve">13. Retenciones/autorretenciones practicadas/ingresadas en meses anteriores en el respectivo período fiscal (Apartado H) $ (........). </t>
        </is>
      </c>
    </row>
    <row r="40">
      <c r="B40" s="26" t="n"/>
    </row>
    <row r="41">
      <c r="B41" s="26" t="inlineStr">
        <is>
          <t>14. Retenciones efectuadas en exceso y reintegradas al beneficiario (Apartado H) $ (........)</t>
        </is>
      </c>
    </row>
    <row r="42">
      <c r="B42" s="26" t="n"/>
    </row>
    <row r="43">
      <c r="B43" s="26" t="inlineStr">
        <is>
          <t>15. Importe a retener/reintegrar en dicho mes $ =====</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2026-01-07T20:27:20Z</dcterms:created>
  <dcterms:modified xmlns:dcterms="http://purl.org/dc/terms/" xmlns:xsi="http://www.w3.org/2001/XMLSchema-instance" xsi:type="dcterms:W3CDTF">2026-02-13T21:06:03Z</dcterms:modified>
  <cp:lastModifiedBy>Javier Braun</cp:lastModifiedBy>
</cp:coreProperties>
</file>